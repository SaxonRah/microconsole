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d56d3d1cd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cbbb10829b4888"/>
    <x:sheet xmlns:r="http://schemas.openxmlformats.org/officeDocument/2006/relationships" name="Alternate BOM" sheetId="2" r:id="R6d4267b6c91c4618"/>
    <x:sheet xmlns:r="http://schemas.openxmlformats.org/officeDocument/2006/relationships" name="Mouser Upload" sheetId="3" r:id="R344110fe5d61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7F1D1D"/>
      <x:name val="Carlito"/>
    </x:font>
    <x:font>
      <x:b/>
      <x:sz val="15"/>
      <x:color rgb="FFFFFFFF"/>
      <x:name val="Carlito"/>
    </x:font>
    <x:font>
      <x:sz val="11"/>
      <x:color rgb="FF374151"/>
      <x:name val="Carlito"/>
    </x:font>
    <x:font>
      <x:i/>
      <x:sz val="11"/>
      <x:color rgb="FF9A3412"/>
      <x:name val="Carlito"/>
    </x:font>
    <x:font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00a38cd4c4fa7" /><Relationship Type="http://schemas.openxmlformats.org/officeDocument/2006/relationships/theme" Target="/xl/theme/theme1.xml" Id="Re18589b7affa4fda" /><Relationship Type="http://schemas.openxmlformats.org/officeDocument/2006/relationships/sharedStrings" Target="/xl/sharedStrings.xml" Id="Rcbab95640a3847aa" /><Relationship Type="http://schemas.openxmlformats.org/officeDocument/2006/relationships/worksheet" Target="/xl/worksheets/sheet1.xml" Id="R72cbbb10829b4888" /><Relationship Type="http://schemas.openxmlformats.org/officeDocument/2006/relationships/worksheet" Target="/xl/worksheets/sheet2.xml" Id="R6d4267b6c91c4618" /><Relationship Type="http://schemas.openxmlformats.org/officeDocument/2006/relationships/worksheet" Target="/xl/worksheets/sheet3.xml" Id="R344110fe5d614cac" /></Relationships>
</file>

<file path=xl/tables/table1.xml><?xml version="1.0" encoding="utf-8"?>
<x:table xmlns:x="http://schemas.openxmlformats.org/spreadsheetml/2006/main" id="1" name="CompleteAlternateBOM" displayName="CompleteAlternateBOM" ref="A4:S48" headerRowCount="1" totalsRowCount="0" totalsRowShown="0">
  <x:tableColumns count="19">
    <x:tableColumn id="1" name="Line"/>
    <x:tableColumn id="2" name="Qty"/>
    <x:tableColumn id="3" name="References"/>
    <x:tableColumn id="4" name="Description"/>
    <x:tableColumn id="5" name="Primary Manufacturer"/>
    <x:tableColumn id="6" name="Primary MPN"/>
    <x:tableColumn id="7" name="Primary Mouser #"/>
    <x:tableColumn id="8" name="Primary Supply"/>
    <x:tableColumn id="9" name="Alternate Manufacturer"/>
    <x:tableColumn id="10" name="Alternate MPN"/>
    <x:tableColumn id="11" name="Alt Supplier / Order P/N"/>
    <x:tableColumn id="12" name="Alternate Specification"/>
    <x:tableColumn id="13" name="Class"/>
    <x:tableColumn id="14" name="PCB Change"/>
    <x:tableColumn id="15" name="Mechanical Change"/>
    <x:tableColumn id="16" name="Order Status"/>
    <x:tableColumn id="17" name="Stock Snapshot (2026-09-19)"/>
    <x:tableColumn id="18" name="Source URL"/>
    <x:tableColumn id="19" name="Engineering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userAlternateUpload" displayName="MouserAlternateUpload" ref="A4:G48" headerRowCount="1" totalsRowCount="0" totalsRowShown="0">
  <x:tableColumns count="7">
    <x:tableColumn id="1" name="Manufacturer Part Number"/>
    <x:tableColumn id="2" name="Manufacturer"/>
    <x:tableColumn id="3" name="Quantity"/>
    <x:tableColumn id="4" name="Customer Part Number / References"/>
    <x:tableColumn id="5" name="Compatibility Class"/>
    <x:tableColumn id="6" name="Order Status"/>
    <x:tableColumn id="7" name="Engineer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6d89a0a5a40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47912c096e4f32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8" hidden="0" customWidth="1"/>
    <x:col min="3" max="3" width="30" hidden="0" customWidth="1"/>
    <x:col min="4" max="4" width="45" hidden="0" customWidth="1"/>
    <x:col min="5" max="5" width="19" hidden="0" customWidth="1"/>
    <x:col min="6" max="6" width="22" hidden="0" customWidth="1"/>
    <x:col min="7" max="7" width="20" hidden="0" customWidth="1"/>
    <x:col min="8" max="8" width="17" hidden="0" customWidth="1"/>
  </x:cols>
  <x:sheetData>
    <x:row r="1" ht="28" customHeight="1">
      <x:c r="A1" s="5" t="str">
        <x:v>MicroConsole — Complete Alternate BOM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Every BOM line has an alternate except the Pimoroni Pico Plus 2 and LCDWIKI display module. Stock is a 2026-09-19 research snapshot; recheck before purchase.</x:v>
      </x:c>
      <x:c r="B2" s="12"/>
      <x:c r="C2" s="12"/>
      <x:c r="D2" s="12"/>
      <x:c r="E2" s="12"/>
      <x:c r="F2" s="12"/>
      <x:c r="G2" s="12"/>
      <x:c r="H2" s="12"/>
    </x:row>
    <x:row r="4">
      <x:c r="A4" s="22" t="str">
        <x:v>Metric</x:v>
      </x:c>
      <x:c r="B4" s="22" t="str">
        <x:v>Value</x:v>
      </x:c>
      <x:c r="D4" s="22" t="str">
        <x:v>Class</x:v>
      </x:c>
      <x:c r="E4" s="22" t="str">
        <x:v>Meaning</x:v>
      </x:c>
      <x:c r="F4" s="22" t="str">
        <x:v>Lines</x:v>
      </x:c>
      <x:c r="G4" s="22" t="str">
        <x:v>Default action</x:v>
      </x:c>
      <x:c r="H4" s="22" t="str">
        <x:v>Risk</x:v>
      </x:c>
    </x:row>
    <x:row r="5">
      <x:c r="A5" s="23" t="str">
        <x:v>Alternate BOM lines</x:v>
      </x:c>
      <x:c r="B5" s="23" t="n">
        <x:v>44</x:v>
      </x:c>
      <x:c r="D5" s="23" t="str">
        <x:v>A</x:v>
      </x:c>
      <x:c r="E5" s="23" t="str">
        <x:v>True drop-in / packaging-only</x:v>
      </x:c>
      <x:c r="F5" s="23" t="n">
        <x:v>28</x:v>
      </x:c>
      <x:c r="G5" s="23" t="str">
        <x:v>Orderable</x:v>
      </x:c>
      <x:c r="H5" s="23" t="str">
        <x:v>Low</x:v>
      </x:c>
    </x:row>
    <x:row r="6">
      <x:c r="A6" s="23" t="str">
        <x:v>Total component quantity</x:v>
      </x:c>
      <x:c r="B6" s="23" t="n">
        <x:v>116</x:v>
      </x:c>
      <x:c r="D6" s="23" t="str">
        <x:v>B</x:v>
      </x:c>
      <x:c r="E6" s="23" t="str">
        <x:v>Same PCB; mechanical/spec difference</x:v>
      </x:c>
      <x:c r="F6" s="23" t="n">
        <x:v>7</x:v>
      </x:c>
      <x:c r="G6" s="23" t="str">
        <x:v>Quick fit/spec review</x:v>
      </x:c>
      <x:c r="H6" s="23" t="str">
        <x:v>Low–Medium</x:v>
      </x:c>
    </x:row>
    <x:row r="7">
      <x:c r="A7" s="23" t="str">
        <x:v>READY lines</x:v>
      </x:c>
      <x:c r="B7" s="23" t="n">
        <x:v>35</x:v>
      </x:c>
      <x:c r="D7" s="23" t="str">
        <x:v>C</x:v>
      </x:c>
      <x:c r="E7" s="23" t="str">
        <x:v>Functional substitute; PCB/mechanical rework</x:v>
      </x:c>
      <x:c r="F7" s="23" t="n">
        <x:v>5</x:v>
      </x:c>
      <x:c r="G7" s="23" t="str">
        <x:v>Engineering review</x:v>
      </x:c>
      <x:c r="H7" s="23" t="str">
        <x:v>Medium</x:v>
      </x:c>
    </x:row>
    <x:row r="8">
      <x:c r="A8" s="23" t="str">
        <x:v>REVIEW lines</x:v>
      </x:c>
      <x:c r="B8" s="23" t="n">
        <x:v>9</x:v>
      </x:c>
      <x:c r="D8" s="23" t="str">
        <x:v>D</x:v>
      </x:c>
      <x:c r="E8" s="23" t="str">
        <x:v>Redesign required</x:v>
      </x:c>
      <x:c r="F8" s="23" t="n">
        <x:v>4</x:v>
      </x:c>
      <x:c r="G8" s="23" t="str">
        <x:v>Do not substitute blindly</x:v>
      </x:c>
      <x:c r="H8" s="23" t="str">
        <x:v>High</x:v>
      </x:c>
    </x:row>
    <x:row r="9">
      <x:c r="A9" s="23" t="str">
        <x:v>Excluded modules</x:v>
      </x:c>
      <x:c r="B9" s="23" t="n">
        <x:v>2</x:v>
      </x:c>
      <x:c r="D9" s="23" t="str"/>
      <x:c r="E9" s="23" t="str">
        <x:v>A + B = READY; C + D = REVIEW.</x:v>
      </x:c>
      <x:c r="F9" s="23" t="str"/>
      <x:c r="G9" s="23" t="str"/>
      <x:c r="H9" s="23" t="str"/>
    </x:row>
    <x:row r="12">
      <x:c r="A12" s="27" t="str">
        <x:v>High-impact engineering review items</x:v>
      </x:c>
      <x:c r="B12" s="27"/>
      <x:c r="C12" s="27"/>
      <x:c r="D12" s="27"/>
      <x:c r="E12" s="27"/>
      <x:c r="F12" s="27"/>
      <x:c r="G12" s="27"/>
      <x:c r="H12" s="27"/>
    </x:row>
    <x:row r="13">
      <x:c r="A13" s="34" t="str">
        <x:v>Line</x:v>
      </x:c>
      <x:c r="B13" s="34" t="str">
        <x:v>Primary</x:v>
      </x:c>
      <x:c r="C13" s="34" t="str">
        <x:v>Alternate</x:v>
      </x:c>
      <x:c r="D13" s="34" t="str">
        <x:v>Why it is not a blind drop-in</x:v>
      </x:c>
    </x:row>
    <x:row r="14">
      <x:c r="A14" s="23" t="n">
        <x:v>8</x:v>
      </x:c>
      <x:c r="B14" s="23" t="str">
        <x:v>Molex 53047-0210</x:v>
      </x:c>
      <x:c r="C14" s="23" t="str">
        <x:v>Molex 53398-0271</x:v>
      </x:c>
      <x:c r="D14" s="23" t="str">
        <x:v>Same PicoBlade family, but SMT instead of THT.</x:v>
      </x:c>
    </x:row>
    <x:row r="15">
      <x:c r="A15" s="23" t="n">
        <x:v>23</x:v>
      </x:c>
      <x:c r="B15" s="23" t="str">
        <x:v>PAM8302AADCR</x:v>
      </x:c>
      <x:c r="C15" s="23" t="str">
        <x:v>PAM8302AASCR</x:v>
      </x:c>
      <x:c r="D15" s="23" t="str">
        <x:v>Same PAM8302A family, but MSOP-8 instead of SO-8.</x:v>
      </x:c>
    </x:row>
    <x:row r="16">
      <x:c r="A16" s="23" t="n">
        <x:v>24</x:v>
      </x:c>
      <x:c r="B16" s="23" t="str">
        <x:v>PAM8406DR</x:v>
      </x:c>
      <x:c r="C16" s="23" t="str">
        <x:v>TPA2008D2PWPR</x:v>
      </x:c>
      <x:c r="D16" s="23" t="str">
        <x:v>Stereo amp redesign; HTSSOP-24 and regulated 5 V requirement.</x:v>
      </x:c>
    </x:row>
    <x:row r="17">
      <x:c r="A17" s="23" t="n">
        <x:v>37</x:v>
      </x:c>
      <x:c r="B17" s="23" t="str">
        <x:v>FJH10K-S2</x:v>
      </x:c>
      <x:c r="C17" s="23" t="str">
        <x:v>FJH10K-S3D</x:v>
      </x:c>
      <x:c r="D17" s="23" t="str">
        <x:v>Hall VDD/GND pin order reverses between variants.</x:v>
      </x:c>
    </x:row>
    <x:row r="18">
      <x:c r="A18" s="23" t="n">
        <x:v>43</x:v>
      </x:c>
      <x:c r="B18" s="23" t="str">
        <x:v>Deferred USB-C J2</x:v>
      </x:c>
      <x:c r="C18" s="23" t="str">
        <x:v>GCT USB4105-GF-A-120</x:v>
      </x:c>
      <x:c r="D18" s="23" t="str">
        <x:v>Freeze a concrete connector and create/verify its footprint.</x:v>
      </x:c>
    </x:row>
    <x:row r="19">
      <x:c r="A19" s="23" t="str"/>
      <x:c r="B19" s="23" t="str">
        <x:v>Other review rows</x:v>
      </x:c>
      <x:c r="C19" s="23" t="str">
        <x:v>32, 40, 41, 42</x:v>
      </x:c>
      <x:c r="D19" s="23" t="str">
        <x:v>Switch/speaker/thermistor mechanical integration.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" hidden="0" customWidth="1"/>
    <x:col min="3" max="3" width="24" hidden="0" customWidth="1"/>
    <x:col min="4" max="4" width="31" hidden="0" customWidth="1"/>
    <x:col min="5" max="5" width="21" hidden="0" customWidth="1"/>
    <x:col min="6" max="6" width="25" hidden="0" customWidth="1"/>
    <x:col min="7" max="7" width="23" hidden="0" customWidth="1"/>
    <x:col min="8" max="8" width="22" hidden="0" customWidth="1"/>
    <x:col min="9" max="9" width="23" hidden="0" customWidth="1"/>
    <x:col min="10" max="10" width="27" hidden="0" customWidth="1"/>
    <x:col min="11" max="11" width="25" hidden="0" customWidth="1"/>
    <x:col min="12" max="12" width="32" hidden="0" customWidth="1"/>
    <x:col min="13" max="13" width="7" hidden="0" customWidth="1"/>
    <x:col min="14" max="14" width="12" hidden="0" customWidth="1"/>
    <x:col min="15" max="15" width="16" hidden="0" customWidth="1"/>
    <x:col min="16" max="16" width="12" hidden="0" customWidth="1"/>
    <x:col min="17" max="17" width="25" hidden="0" customWidth="1"/>
    <x:col min="18" max="18" width="45" hidden="0" customWidth="1"/>
    <x:col min="19" max="19" width="52" hidden="0" customWidth="1"/>
  </x:cols>
  <x:sheetData>
    <x:row r="1" ht="27" customHeight="1">
      <x:c r="A1" s="36" t="str">
        <x:v>MicroConsole — Primary vs Complete Alternate BOM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30" customHeight="1">
      <x:c r="A2" s="40" t="str">
        <x:v>All 44 non-module BOM lines are covered. Excluded only: Pimoroni Pico Plus 2 and LCDWIKI MSP4021 display. Class A/B = READY; Class C/D = REVIEW.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</x:row>
    <x:row r="3">
      <x:c r="A3" s="46" t="str">
        <x:v>A = true drop-in; B = same PCB with mechanical/spec difference; C = functional substitute requiring rework; D = redesign required. Stock snapshots researched 2026-09-19.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</x:row>
    <x:row r="4" ht="34" customHeight="1">
      <x:c r="A4" s="51" t="str">
        <x:v>Line</x:v>
      </x:c>
      <x:c r="B4" s="51" t="str">
        <x:v>Qty</x:v>
      </x:c>
      <x:c r="C4" s="51" t="str">
        <x:v>References</x:v>
      </x:c>
      <x:c r="D4" s="51" t="str">
        <x:v>Description</x:v>
      </x:c>
      <x:c r="E4" s="51" t="str">
        <x:v>Primary Manufacturer</x:v>
      </x:c>
      <x:c r="F4" s="51" t="str">
        <x:v>Primary MPN</x:v>
      </x:c>
      <x:c r="G4" s="51" t="str">
        <x:v>Primary Mouser #</x:v>
      </x:c>
      <x:c r="H4" s="51" t="str">
        <x:v>Primary Supply</x:v>
      </x:c>
      <x:c r="I4" s="51" t="str">
        <x:v>Alternate Manufacturer</x:v>
      </x:c>
      <x:c r="J4" s="51" t="str">
        <x:v>Alternate MPN</x:v>
      </x:c>
      <x:c r="K4" s="51" t="str">
        <x:v>Alt Supplier / Order P/N</x:v>
      </x:c>
      <x:c r="L4" s="51" t="str">
        <x:v>Alternate Specification</x:v>
      </x:c>
      <x:c r="M4" s="51" t="str">
        <x:v>Class</x:v>
      </x:c>
      <x:c r="N4" s="51" t="str">
        <x:v>PCB Change</x:v>
      </x:c>
      <x:c r="O4" s="51" t="str">
        <x:v>Mechanical Change</x:v>
      </x:c>
      <x:c r="P4" s="51" t="str">
        <x:v>Order Status</x:v>
      </x:c>
      <x:c r="Q4" s="51" t="str">
        <x:v>Stock Snapshot (2026-09-19)</x:v>
      </x:c>
      <x:c r="R4" s="51" t="str">
        <x:v>Source URL</x:v>
      </x:c>
      <x:c r="S4" s="51" t="str">
        <x:v>Engineering Notes</x:v>
      </x:c>
    </x:row>
    <x:row r="5">
      <x:c r="A5" s="54" t="n">
        <x:v>0</x:v>
      </x:c>
      <x:c r="B5" s="54" t="n">
        <x:v>2</x:v>
      </x:c>
      <x:c r="C5" s="54" t="str">
        <x:v>C18 C19</x:v>
      </x:c>
      <x:c r="D5" s="54" t="str">
        <x:v>2.2 nF 50 V 5% C0G/NP0 0805 capacitor</x:v>
      </x:c>
      <x:c r="E5" s="54" t="str">
        <x:v>KEMET</x:v>
      </x:c>
      <x:c r="F5" s="54" t="str">
        <x:v>C0805C222J5GECTU</x:v>
      </x:c>
      <x:c r="G5" s="54" t="str">
        <x:v>80-C0805C222J5GECTU</x:v>
      </x:c>
      <x:c r="H5" s="54" t="str">
        <x:v>BACKORDER / NO ON-HAND STOCK SHOWN</x:v>
      </x:c>
      <x:c r="I5" s="54" t="str">
        <x:v>TDK</x:v>
      </x:c>
      <x:c r="J5" s="54" t="str">
        <x:v>C2012C0G2A222J085AA</x:v>
      </x:c>
      <x:c r="K5" s="54" t="str">
        <x:v>810-C2012C0G2A222J</x:v>
      </x:c>
      <x:c r="L5" s="54" t="str">
        <x:v>2.2 nF, 100 V, 5%, C0G/NP0, 0805</x:v>
      </x:c>
      <x:c r="M5" s="54" t="str">
        <x:v>A</x:v>
      </x:c>
      <x:c r="N5" s="54" t="str">
        <x:v>NO</x:v>
      </x:c>
      <x:c r="O5" s="54" t="str">
        <x:v>NO</x:v>
      </x:c>
      <x:c r="P5" s="54" t="str">
        <x:v>READY</x:v>
      </x:c>
      <x:c r="Q5" s="54" t="str">
        <x:v>7,770 snapshot</x:v>
      </x:c>
      <x:c r="R5" s="54" t="str">
        <x:v>https://www.mouser.com/c/?q=C2012C0G2A222J085AA</x:v>
      </x:c>
      <x:c r="S5" s="54" t="str">
        <x:v>Direct electrical/footprint substitute; voltage rating improves from 50 V to 100 V.</x:v>
      </x:c>
    </x:row>
    <x:row r="6">
      <x:c r="A6" s="54" t="n">
        <x:v>1</x:v>
      </x:c>
      <x:c r="B6" s="54" t="n">
        <x:v>2</x:v>
      </x:c>
      <x:c r="C6" s="54" t="str">
        <x:v>C22 C28</x:v>
      </x:c>
      <x:c r="D6" s="54" t="str">
        <x:v>2.2 uF 16 V 10% X7R 0805 capacitor</x:v>
      </x:c>
      <x:c r="E6" s="54" t="str">
        <x:v>Murata</x:v>
      </x:c>
      <x:c r="F6" s="54" t="str">
        <x:v>GRM21BR71C225KA12L</x:v>
      </x:c>
      <x:c r="G6" s="54" t="str">
        <x:v>81-GRM21BR71C225KA2L</x:v>
      </x:c>
      <x:c r="H6" s="54" t="str">
        <x:v>IN STOCK</x:v>
      </x:c>
      <x:c r="I6" s="54" t="str">
        <x:v>TDK</x:v>
      </x:c>
      <x:c r="J6" s="54" t="str">
        <x:v>C2012X7R1C225K125AB</x:v>
      </x:c>
      <x:c r="K6" s="54" t="str">
        <x:v>810-C2012X7R1C225K</x:v>
      </x:c>
      <x:c r="L6" s="54" t="str">
        <x:v>2.2 uF, 16 V, 10%, X7R, 0805</x:v>
      </x:c>
      <x:c r="M6" s="54" t="str">
        <x:v>A</x:v>
      </x:c>
      <x:c r="N6" s="54" t="str">
        <x:v>NO</x:v>
      </x:c>
      <x:c r="O6" s="54" t="str">
        <x:v>NO</x:v>
      </x:c>
      <x:c r="P6" s="54" t="str">
        <x:v>READY</x:v>
      </x:c>
      <x:c r="Q6" s="54" t="str">
        <x:v>84,088 snapshot</x:v>
      </x:c>
      <x:c r="R6" s="54" t="str">
        <x:v>https://www.mouser.com/c/?q=C2012X7R1C225K125AB</x:v>
      </x:c>
      <x:c r="S6" s="54" t="str">
        <x:v>Same capacitance, voltage, dielectric, tolerance and 0805 case.</x:v>
      </x:c>
    </x:row>
    <x:row r="7">
      <x:c r="A7" s="54" t="n">
        <x:v>2</x:v>
      </x:c>
      <x:c r="B7" s="54" t="n">
        <x:v>1</x:v>
      </x:c>
      <x:c r="C7" s="54" t="str">
        <x:v>C23</x:v>
      </x:c>
      <x:c r="D7" s="54" t="str">
        <x:v>33 nF 50 V 10% X7R 0805 capacitor</x:v>
      </x:c>
      <x:c r="E7" s="54" t="str">
        <x:v>KEMET</x:v>
      </x:c>
      <x:c r="F7" s="54" t="str">
        <x:v>C0805C333K5RECAUTO</x:v>
      </x:c>
      <x:c r="G7" s="54" t="str">
        <x:v>80-C0805C333K5RECAUT</x:v>
      </x:c>
      <x:c r="H7" s="54" t="str">
        <x:v>IN STOCK</x:v>
      </x:c>
      <x:c r="I7" s="54" t="str">
        <x:v>YAGEO</x:v>
      </x:c>
      <x:c r="J7" s="54" t="str">
        <x:v>CC0805KRX7R9BB333</x:v>
      </x:c>
      <x:c r="K7" s="54" t="str"/>
      <x:c r="L7" s="54" t="str">
        <x:v>33 nF, 50 V, 10%, X7R, 0805</x:v>
      </x:c>
      <x:c r="M7" s="54" t="str">
        <x:v>A</x:v>
      </x:c>
      <x:c r="N7" s="54" t="str">
        <x:v>NO</x:v>
      </x:c>
      <x:c r="O7" s="54" t="str">
        <x:v>NO</x:v>
      </x:c>
      <x:c r="P7" s="54" t="str">
        <x:v>READY</x:v>
      </x:c>
      <x:c r="Q7" s="54" t="str">
        <x:v>Listing verified; recheck before PO</x:v>
      </x:c>
      <x:c r="R7" s="54" t="str">
        <x:v>https://www.mouser.com/c/?q=CC0805KRX7R9BB333</x:v>
      </x:c>
      <x:c r="S7" s="54" t="str">
        <x:v>Second-source 0805 X7R part; same key electrical ratings.</x:v>
      </x:c>
    </x:row>
    <x:row r="8">
      <x:c r="A8" s="54" t="n">
        <x:v>3</x:v>
      </x:c>
      <x:c r="B8" s="54" t="n">
        <x:v>2</x:v>
      </x:c>
      <x:c r="C8" s="54" t="str">
        <x:v>C31 C59</x:v>
      </x:c>
      <x:c r="D8" s="54" t="str">
        <x:v>0.22 uF 50 V 10% X7R 0805 capacitor</x:v>
      </x:c>
      <x:c r="E8" s="54" t="str">
        <x:v>TDK</x:v>
      </x:c>
      <x:c r="F8" s="54" t="str">
        <x:v>C2012X7R1H224K125AA</x:v>
      </x:c>
      <x:c r="G8" s="54" t="str">
        <x:v>810-C2012X7R1H224K</x:v>
      </x:c>
      <x:c r="H8" s="54" t="str">
        <x:v>BACKORDER / NO ON-HAND STOCK SHOWN</x:v>
      </x:c>
      <x:c r="I8" s="54" t="str">
        <x:v>KEMET</x:v>
      </x:c>
      <x:c r="J8" s="54" t="str">
        <x:v>C0805C224K5RACTU</x:v>
      </x:c>
      <x:c r="K8" s="54" t="str">
        <x:v>80-C0805C224K5R</x:v>
      </x:c>
      <x:c r="L8" s="54" t="str">
        <x:v>0.22 uF, 50 V, 10%, X7R, 0805</x:v>
      </x:c>
      <x:c r="M8" s="54" t="str">
        <x:v>A</x:v>
      </x:c>
      <x:c r="N8" s="54" t="str">
        <x:v>NO</x:v>
      </x:c>
      <x:c r="O8" s="54" t="str">
        <x:v>NO</x:v>
      </x:c>
      <x:c r="P8" s="54" t="str">
        <x:v>READY</x:v>
      </x:c>
      <x:c r="Q8" s="54" t="str">
        <x:v>In stock snapshot</x:v>
      </x:c>
      <x:c r="R8" s="54" t="str">
        <x:v>https://www.mouser.com/c/?q=C0805C224K5RACTU</x:v>
      </x:c>
      <x:c r="S8" s="54" t="str">
        <x:v>Direct 0805 X7R substitute.</x:v>
      </x:c>
    </x:row>
    <x:row r="9">
      <x:c r="A9" s="54" t="n">
        <x:v>4</x:v>
      </x:c>
      <x:c r="B9" s="54" t="n">
        <x:v>2</x:v>
      </x:c>
      <x:c r="C9" s="54" t="str">
        <x:v>C32 C72</x:v>
      </x:c>
      <x:c r="D9" s="54" t="str">
        <x:v>0.47 uF 50 V 10% X7R 0805 capacitor</x:v>
      </x:c>
      <x:c r="E9" s="54" t="str">
        <x:v>TDK</x:v>
      </x:c>
      <x:c r="F9" s="54" t="str">
        <x:v>C2012X7R1H474K125AB</x:v>
      </x:c>
      <x:c r="G9" s="54" t="str">
        <x:v>810-C2012X7R1H474K</x:v>
      </x:c>
      <x:c r="H9" s="54" t="str">
        <x:v>IN STOCK</x:v>
      </x:c>
      <x:c r="I9" s="54" t="str">
        <x:v>Murata Electronics</x:v>
      </x:c>
      <x:c r="J9" s="54" t="str">
        <x:v>GRM21BR71H474KA88L</x:v>
      </x:c>
      <x:c r="K9" s="54" t="str"/>
      <x:c r="L9" s="54" t="str">
        <x:v>0.47 uF, 50 V, 10%, X7R, 0805</x:v>
      </x:c>
      <x:c r="M9" s="54" t="str">
        <x:v>A</x:v>
      </x:c>
      <x:c r="N9" s="54" t="str">
        <x:v>NO</x:v>
      </x:c>
      <x:c r="O9" s="54" t="str">
        <x:v>NO</x:v>
      </x:c>
      <x:c r="P9" s="54" t="str">
        <x:v>READY</x:v>
      </x:c>
      <x:c r="Q9" s="54" t="str">
        <x:v>Listing verified; recheck before PO</x:v>
      </x:c>
      <x:c r="R9" s="54" t="str">
        <x:v>https://www.mouser.com/c/?q=GRM21BR71H474KA88L</x:v>
      </x:c>
      <x:c r="S9" s="54" t="str">
        <x:v>Same capacitance, voltage, dielectric, tolerance and package.</x:v>
      </x:c>
    </x:row>
    <x:row r="10">
      <x:c r="A10" s="54" t="n">
        <x:v>5</x:v>
      </x:c>
      <x:c r="B10" s="54" t="n">
        <x:v>5</x:v>
      </x:c>
      <x:c r="C10" s="54" t="str">
        <x:v>C9 C34 C37 C39 C73</x:v>
      </x:c>
      <x:c r="D10" s="54" t="str">
        <x:v>1 uF 16 V 10% X7R 0805 capacitor</x:v>
      </x:c>
      <x:c r="E10" s="54" t="str">
        <x:v>Murata</x:v>
      </x:c>
      <x:c r="F10" s="54" t="str">
        <x:v>GRM21BR71C105KA01L</x:v>
      </x:c>
      <x:c r="G10" s="54" t="str">
        <x:v>81-GRM40X105K16L</x:v>
      </x:c>
      <x:c r="H10" s="54" t="str">
        <x:v>IN STOCK</x:v>
      </x:c>
      <x:c r="I10" s="54" t="str">
        <x:v>KEMET</x:v>
      </x:c>
      <x:c r="J10" s="54" t="str">
        <x:v>C0805C105K4RACTU</x:v>
      </x:c>
      <x:c r="K10" s="54" t="str"/>
      <x:c r="L10" s="54" t="str">
        <x:v>1 uF, 16 V, 10%, X7R, 0805</x:v>
      </x:c>
      <x:c r="M10" s="54" t="str">
        <x:v>A</x:v>
      </x:c>
      <x:c r="N10" s="54" t="str">
        <x:v>NO</x:v>
      </x:c>
      <x:c r="O10" s="54" t="str">
        <x:v>NO</x:v>
      </x:c>
      <x:c r="P10" s="54" t="str">
        <x:v>READY</x:v>
      </x:c>
      <x:c r="Q10" s="54" t="str">
        <x:v>Listing verified; recheck before PO</x:v>
      </x:c>
      <x:c r="R10" s="54" t="str">
        <x:v>https://www.mouser.com/c/?q=C0805C105K4RACTU</x:v>
      </x:c>
      <x:c r="S10" s="54" t="str">
        <x:v>Direct 0805 X7R substitute.</x:v>
      </x:c>
    </x:row>
    <x:row r="11">
      <x:c r="A11" s="54" t="n">
        <x:v>6</x:v>
      </x:c>
      <x:c r="B11" s="54" t="n">
        <x:v>13</x:v>
      </x:c>
      <x:c r="C11" s="54" t="str">
        <x:v>C4 C13 C15 C17 C26 C27 C29 C35 C38 C41 C45 C47 C49</x:v>
      </x:c>
      <x:c r="D11" s="54" t="str">
        <x:v>10 uF 10 V 10% X5R 1206 capacitor</x:v>
      </x:c>
      <x:c r="E11" s="54" t="str">
        <x:v>KYOCERA AVX</x:v>
      </x:c>
      <x:c r="F11" s="54" t="str">
        <x:v>1206ZD106KAT2A</x:v>
      </x:c>
      <x:c r="G11" s="54" t="str">
        <x:v>581-1206ZD106K</x:v>
      </x:c>
      <x:c r="H11" s="54" t="str">
        <x:v>IN STOCK</x:v>
      </x:c>
      <x:c r="I11" s="54" t="str">
        <x:v>Murata Electronics</x:v>
      </x:c>
      <x:c r="J11" s="54" t="str">
        <x:v>GXT31CR6YA106KE01L</x:v>
      </x:c>
      <x:c r="K11" s="54" t="str"/>
      <x:c r="L11" s="54" t="str">
        <x:v>10 uF, 35 V, 10%, X5R, 1206</x:v>
      </x:c>
      <x:c r="M11" s="54" t="str">
        <x:v>A</x:v>
      </x:c>
      <x:c r="N11" s="54" t="str">
        <x:v>NO</x:v>
      </x:c>
      <x:c r="O11" s="54" t="str">
        <x:v>NO</x:v>
      </x:c>
      <x:c r="P11" s="54" t="str">
        <x:v>READY</x:v>
      </x:c>
      <x:c r="Q11" s="54" t="str">
        <x:v>2,814 snapshot</x:v>
      </x:c>
      <x:c r="R11" s="54" t="str">
        <x:v>https://www.mouser.com/c/?q=GXT31CR6YA106KE01L</x:v>
      </x:c>
      <x:c r="S11" s="54" t="str">
        <x:v>Same value/tolerance/X5R/1206; voltage rating improves from 10 V to 35 V.</x:v>
      </x:c>
    </x:row>
    <x:row r="12">
      <x:c r="A12" s="54" t="n">
        <x:v>7</x:v>
      </x:c>
      <x:c r="B12" s="54" t="n">
        <x:v>16</x:v>
      </x:c>
      <x:c r="C12" s="54" t="str">
        <x:v>C5 C7 C8 C10 C11 C12 C14 C16 C33 C36 C40 C44 C46 C48 C50 C51</x:v>
      </x:c>
      <x:c r="D12" s="54" t="str">
        <x:v>100 nF 50 V 10% X7R 0805 capacitor</x:v>
      </x:c>
      <x:c r="E12" s="54" t="str">
        <x:v>KEMET</x:v>
      </x:c>
      <x:c r="F12" s="54" t="str">
        <x:v>C0805C104K5RAC7210</x:v>
      </x:c>
      <x:c r="G12" s="54" t="str">
        <x:v>80-C0805C104K5R7210</x:v>
      </x:c>
      <x:c r="H12" s="54" t="str">
        <x:v>IN STOCK</x:v>
      </x:c>
      <x:c r="I12" s="54" t="str">
        <x:v>YAGEO</x:v>
      </x:c>
      <x:c r="J12" s="54" t="str">
        <x:v>CC0805KRX7R9BB104</x:v>
      </x:c>
      <x:c r="K12" s="54" t="str"/>
      <x:c r="L12" s="54" t="str">
        <x:v>100 nF, 50 V, 10%, X7R, 0805</x:v>
      </x:c>
      <x:c r="M12" s="54" t="str">
        <x:v>A</x:v>
      </x:c>
      <x:c r="N12" s="54" t="str">
        <x:v>NO</x:v>
      </x:c>
      <x:c r="O12" s="54" t="str">
        <x:v>NO</x:v>
      </x:c>
      <x:c r="P12" s="54" t="str">
        <x:v>READY</x:v>
      </x:c>
      <x:c r="Q12" s="54" t="str">
        <x:v>Listing verified; recheck before PO</x:v>
      </x:c>
      <x:c r="R12" s="54" t="str">
        <x:v>https://www.mouser.com/c/?q=CC0805KRX7R9BB104</x:v>
      </x:c>
      <x:c r="S12" s="54" t="str">
        <x:v>Second-source 0805 X7R decoupling capacitor.</x:v>
      </x:c>
    </x:row>
    <x:row r="13">
      <x:c r="A13" s="54" t="n">
        <x:v>8</x:v>
      </x:c>
      <x:c r="B13" s="54" t="n">
        <x:v>2</x:v>
      </x:c>
      <x:c r="C13" s="54" t="str">
        <x:v>LS1 LS3 board headers</x:v>
      </x:c>
      <x:c r="D13" s="54" t="str">
        <x:v>PicoBlade 1x02 1.25 mm vertical PCB header</x:v>
      </x:c>
      <x:c r="E13" s="54" t="str">
        <x:v>Molex</x:v>
      </x:c>
      <x:c r="F13" s="54" t="str">
        <x:v>53047-0210</x:v>
      </x:c>
      <x:c r="G13" s="54" t="str">
        <x:v>538-53047-0210</x:v>
      </x:c>
      <x:c r="H13" s="54" t="str">
        <x:v>IN STOCK</x:v>
      </x:c>
      <x:c r="I13" s="54" t="str">
        <x:v>Molex</x:v>
      </x:c>
      <x:c r="J13" s="54" t="str">
        <x:v>53398-0271</x:v>
      </x:c>
      <x:c r="K13" s="54" t="str">
        <x:v>538-53398-0271</x:v>
      </x:c>
      <x:c r="L13" s="54" t="str">
        <x:v>PicoBlade, 2-position, 1.25 mm, vertical SMT header</x:v>
      </x:c>
      <x:c r="M13" s="54" t="str">
        <x:v>C</x:v>
      </x:c>
      <x:c r="N13" s="54" t="str">
        <x:v>YES</x:v>
      </x:c>
      <x:c r="O13" s="54" t="str">
        <x:v>VERIFY</x:v>
      </x:c>
      <x:c r="P13" s="54" t="str">
        <x:v>REVIEW</x:v>
      </x:c>
      <x:c r="Q13" s="54" t="str">
        <x:v>100k+ regional snapshot</x:v>
      </x:c>
      <x:c r="R13" s="54" t="str">
        <x:v>https://www.mouser.com/c/?q=53398-0271</x:v>
      </x:c>
      <x:c r="S13" s="54" t="str">
        <x:v>Same PicoBlade mating family, but SMT rather than the primary through-hole 53047 footprint. PCB footprint change required.</x:v>
      </x:c>
    </x:row>
    <x:row r="14">
      <x:c r="A14" s="54" t="n">
        <x:v>9</x:v>
      </x:c>
      <x:c r="B14" s="54" t="n">
        <x:v>2</x:v>
      </x:c>
      <x:c r="C14" s="54" t="str">
        <x:v>R18 R19</x:v>
      </x:c>
      <x:c r="D14" s="54" t="str">
        <x:v>470 ohm 1% 0.1 W 0603 resistor</x:v>
      </x:c>
      <x:c r="E14" s="54" t="str">
        <x:v>YAGEO</x:v>
      </x:c>
      <x:c r="F14" s="54" t="str">
        <x:v>RC0603FR-07470RL</x:v>
      </x:c>
      <x:c r="G14" s="54" t="str">
        <x:v>603-RC0603FR-07470RL</x:v>
      </x:c>
      <x:c r="H14" s="54" t="str">
        <x:v>IN STOCK</x:v>
      </x:c>
      <x:c r="I14" s="54" t="str">
        <x:v>Vishay</x:v>
      </x:c>
      <x:c r="J14" s="54" t="str">
        <x:v>CRCW0603470RFKEA</x:v>
      </x:c>
      <x:c r="K14" s="54" t="str">
        <x:v>71-CRCW0603-470-E3</x:v>
      </x:c>
      <x:c r="L14" s="54" t="str">
        <x:v>470 ohm, 1%, 0.125 W, 0603</x:v>
      </x:c>
      <x:c r="M14" s="54" t="str">
        <x:v>A</x:v>
      </x:c>
      <x:c r="N14" s="54" t="str">
        <x:v>NO</x:v>
      </x:c>
      <x:c r="O14" s="54" t="str">
        <x:v>NO</x:v>
      </x:c>
      <x:c r="P14" s="54" t="str">
        <x:v>READY</x:v>
      </x:c>
      <x:c r="Q14" s="54" t="str">
        <x:v>Listing verified; recheck before PO</x:v>
      </x:c>
      <x:c r="R14" s="54" t="str">
        <x:v>https://www.mouser.com/c/?q=CRCW0603470RFKEA</x:v>
      </x:c>
      <x:c r="S14" s="54" t="str">
        <x:v>Same resistance/tolerance/package; power rating improves from 0.1 W to 0.125 W.</x:v>
      </x:c>
    </x:row>
    <x:row r="15">
      <x:c r="A15" s="54" t="n">
        <x:v>10</x:v>
      </x:c>
      <x:c r="B15" s="54" t="n">
        <x:v>1</x:v>
      </x:c>
      <x:c r="C15" s="54" t="str">
        <x:v>R20</x:v>
      </x:c>
      <x:c r="D15" s="54" t="str">
        <x:v>33 kohm 1% 0.1 W 0603 resistor</x:v>
      </x:c>
      <x:c r="E15" s="54" t="str">
        <x:v>YAGEO</x:v>
      </x:c>
      <x:c r="F15" s="54" t="str">
        <x:v>RC0603FR-0733KL</x:v>
      </x:c>
      <x:c r="G15" s="54" t="str">
        <x:v>603-RC0603FR-0733KL</x:v>
      </x:c>
      <x:c r="H15" s="54" t="str">
        <x:v>IN STOCK</x:v>
      </x:c>
      <x:c r="I15" s="54" t="str">
        <x:v>Vishay</x:v>
      </x:c>
      <x:c r="J15" s="54" t="str">
        <x:v>CRCW060333K0FKEA</x:v>
      </x:c>
      <x:c r="K15" s="54" t="str">
        <x:v>71-CRCW0603-33K-E3</x:v>
      </x:c>
      <x:c r="L15" s="54" t="str">
        <x:v>33 kohm, 1%, 0.125 W, 0603</x:v>
      </x:c>
      <x:c r="M15" s="54" t="str">
        <x:v>A</x:v>
      </x:c>
      <x:c r="N15" s="54" t="str">
        <x:v>NO</x:v>
      </x:c>
      <x:c r="O15" s="54" t="str">
        <x:v>NO</x:v>
      </x:c>
      <x:c r="P15" s="54" t="str">
        <x:v>READY</x:v>
      </x:c>
      <x:c r="Q15" s="54" t="str">
        <x:v>94,610 snapshot</x:v>
      </x:c>
      <x:c r="R15" s="54" t="str">
        <x:v>https://www.mouser.com/c/?q=CRCW060333K0FKEA</x:v>
      </x:c>
      <x:c r="S15" s="54" t="str">
        <x:v>Direct resistor substitute.</x:v>
      </x:c>
    </x:row>
    <x:row r="16">
      <x:c r="A16" s="54" t="n">
        <x:v>11</x:v>
      </x:c>
      <x:c r="B16" s="54" t="n">
        <x:v>2</x:v>
      </x:c>
      <x:c r="C16" s="54" t="str">
        <x:v>R22 R29</x:v>
      </x:c>
      <x:c r="D16" s="54" t="str">
        <x:v>27 kohm 1% 0.1 W 0603 resistor</x:v>
      </x:c>
      <x:c r="E16" s="54" t="str">
        <x:v>YAGEO</x:v>
      </x:c>
      <x:c r="F16" s="54" t="str">
        <x:v>RC0603FR-0727KL</x:v>
      </x:c>
      <x:c r="G16" s="54" t="str">
        <x:v>603-RC0603FR-0727KL</x:v>
      </x:c>
      <x:c r="H16" s="54" t="str">
        <x:v>IN STOCK</x:v>
      </x:c>
      <x:c r="I16" s="54" t="str">
        <x:v>Vishay</x:v>
      </x:c>
      <x:c r="J16" s="54" t="str">
        <x:v>CRCW060327K0FKEA</x:v>
      </x:c>
      <x:c r="K16" s="54" t="str"/>
      <x:c r="L16" s="54" t="str">
        <x:v>27 kohm, 1%, 0.125 W, 0603</x:v>
      </x:c>
      <x:c r="M16" s="54" t="str">
        <x:v>A</x:v>
      </x:c>
      <x:c r="N16" s="54" t="str">
        <x:v>NO</x:v>
      </x:c>
      <x:c r="O16" s="54" t="str">
        <x:v>NO</x:v>
      </x:c>
      <x:c r="P16" s="54" t="str">
        <x:v>READY</x:v>
      </x:c>
      <x:c r="Q16" s="54" t="str">
        <x:v>60,143 snapshot</x:v>
      </x:c>
      <x:c r="R16" s="54" t="str">
        <x:v>https://www.mouser.com/c/?q=CRCW060327K0FKEA</x:v>
      </x:c>
      <x:c r="S16" s="54" t="str">
        <x:v>Direct resistor substitute.</x:v>
      </x:c>
    </x:row>
    <x:row r="17">
      <x:c r="A17" s="54" t="n">
        <x:v>12</x:v>
      </x:c>
      <x:c r="B17" s="54" t="n">
        <x:v>2</x:v>
      </x:c>
      <x:c r="C17" s="54" t="str">
        <x:v>R23 R28</x:v>
      </x:c>
      <x:c r="D17" s="54" t="str">
        <x:v>2 kohm 1% 0.1 W 0603 resistor</x:v>
      </x:c>
      <x:c r="E17" s="54" t="str">
        <x:v>YAGEO</x:v>
      </x:c>
      <x:c r="F17" s="54" t="str">
        <x:v>RC0603FR-072KL</x:v>
      </x:c>
      <x:c r="G17" s="54" t="str">
        <x:v>603-RC0603FR-072KL</x:v>
      </x:c>
      <x:c r="H17" s="54" t="str">
        <x:v>BACKORDER / NO ON-HAND STOCK SHOWN</x:v>
      </x:c>
      <x:c r="I17" s="54" t="str">
        <x:v>Vishay</x:v>
      </x:c>
      <x:c r="J17" s="54" t="str">
        <x:v>CRCW06032K00FKEA</x:v>
      </x:c>
      <x:c r="K17" s="54" t="str">
        <x:v>71-CRCW0603-2.0K-E3</x:v>
      </x:c>
      <x:c r="L17" s="54" t="str">
        <x:v>2 kohm, 1%, 0.125 W, 0603</x:v>
      </x:c>
      <x:c r="M17" s="54" t="str">
        <x:v>A</x:v>
      </x:c>
      <x:c r="N17" s="54" t="str">
        <x:v>NO</x:v>
      </x:c>
      <x:c r="O17" s="54" t="str">
        <x:v>NO</x:v>
      </x:c>
      <x:c r="P17" s="54" t="str">
        <x:v>READY</x:v>
      </x:c>
      <x:c r="Q17" s="54" t="str">
        <x:v>528k+ snapshot</x:v>
      </x:c>
      <x:c r="R17" s="54" t="str">
        <x:v>https://www.mouser.com/c/?q=CRCW06032K00FKEA</x:v>
      </x:c>
      <x:c r="S17" s="54" t="str">
        <x:v>Direct resistor substitute.</x:v>
      </x:c>
    </x:row>
    <x:row r="18">
      <x:c r="A18" s="54" t="n">
        <x:v>13</x:v>
      </x:c>
      <x:c r="B18" s="54" t="n">
        <x:v>3</x:v>
      </x:c>
      <x:c r="C18" s="54" t="str">
        <x:v>R5 R24 R31</x:v>
      </x:c>
      <x:c r="D18" s="54" t="str">
        <x:v>100 kohm 1% 0.1 W 0603 resistor</x:v>
      </x:c>
      <x:c r="E18" s="54" t="str">
        <x:v>YAGEO</x:v>
      </x:c>
      <x:c r="F18" s="54" t="str">
        <x:v>RC0603FR-07100KL</x:v>
      </x:c>
      <x:c r="G18" s="54" t="str">
        <x:v>603-RC0603FR-07100KL</x:v>
      </x:c>
      <x:c r="H18" s="54" t="str">
        <x:v>IN STOCK</x:v>
      </x:c>
      <x:c r="I18" s="54" t="str">
        <x:v>Vishay</x:v>
      </x:c>
      <x:c r="J18" s="54" t="str">
        <x:v>CRCW0603100KFKEA</x:v>
      </x:c>
      <x:c r="K18" s="54" t="str"/>
      <x:c r="L18" s="54" t="str">
        <x:v>100 kohm, 1%, 0.125 W, 0603</x:v>
      </x:c>
      <x:c r="M18" s="54" t="str">
        <x:v>A</x:v>
      </x:c>
      <x:c r="N18" s="54" t="str">
        <x:v>NO</x:v>
      </x:c>
      <x:c r="O18" s="54" t="str">
        <x:v>NO</x:v>
      </x:c>
      <x:c r="P18" s="54" t="str">
        <x:v>READY</x:v>
      </x:c>
      <x:c r="Q18" s="54" t="str">
        <x:v>Listing verified; recheck before PO</x:v>
      </x:c>
      <x:c r="R18" s="54" t="str">
        <x:v>https://www.mouser.com/c/?q=CRCW0603100KFKEA</x:v>
      </x:c>
      <x:c r="S18" s="54" t="str">
        <x:v>Direct resistor substitute.</x:v>
      </x:c>
    </x:row>
    <x:row r="19">
      <x:c r="A19" s="54" t="n">
        <x:v>14</x:v>
      </x:c>
      <x:c r="B19" s="54" t="n">
        <x:v>6</x:v>
      </x:c>
      <x:c r="C19" s="54" t="str">
        <x:v>R11 R16 R17 R25 R26 R27</x:v>
      </x:c>
      <x:c r="D19" s="54" t="str">
        <x:v>10 kohm 1% 0.1 W 0603 resistor</x:v>
      </x:c>
      <x:c r="E19" s="54" t="str">
        <x:v>YAGEO</x:v>
      </x:c>
      <x:c r="F19" s="54" t="str">
        <x:v>RC0603FR-0710KL</x:v>
      </x:c>
      <x:c r="G19" s="54" t="str">
        <x:v>603-RC0603FR-0710KL</x:v>
      </x:c>
      <x:c r="H19" s="54" t="str">
        <x:v>IN STOCK</x:v>
      </x:c>
      <x:c r="I19" s="54" t="str">
        <x:v>Vishay</x:v>
      </x:c>
      <x:c r="J19" s="54" t="str">
        <x:v>CRCW060310K0FKEA</x:v>
      </x:c>
      <x:c r="K19" s="54" t="str"/>
      <x:c r="L19" s="54" t="str">
        <x:v>10 kohm, 1%, 0.125 W, 0603</x:v>
      </x:c>
      <x:c r="M19" s="54" t="str">
        <x:v>A</x:v>
      </x:c>
      <x:c r="N19" s="54" t="str">
        <x:v>NO</x:v>
      </x:c>
      <x:c r="O19" s="54" t="str">
        <x:v>NO</x:v>
      </x:c>
      <x:c r="P19" s="54" t="str">
        <x:v>READY</x:v>
      </x:c>
      <x:c r="Q19" s="54" t="str">
        <x:v>Listing verified; recheck before PO</x:v>
      </x:c>
      <x:c r="R19" s="54" t="str">
        <x:v>https://www.mouser.com/c/?q=CRCW060310K0FKEA</x:v>
      </x:c>
      <x:c r="S19" s="54" t="str">
        <x:v>Direct resistor substitute.</x:v>
      </x:c>
    </x:row>
    <x:row r="20">
      <x:c r="A20" s="54" t="n">
        <x:v>15</x:v>
      </x:c>
      <x:c r="B20" s="54" t="n">
        <x:v>3</x:v>
      </x:c>
      <x:c r="C20" s="54" t="str">
        <x:v>R21 R30 R45</x:v>
      </x:c>
      <x:c r="D20" s="54" t="str">
        <x:v>4.7 kohm 1% 0.1 W 0603 resistor</x:v>
      </x:c>
      <x:c r="E20" s="54" t="str">
        <x:v>YAGEO</x:v>
      </x:c>
      <x:c r="F20" s="54" t="str">
        <x:v>RC0603FR-074K7L</x:v>
      </x:c>
      <x:c r="G20" s="54" t="str">
        <x:v>603-RC0603FR-074K7L</x:v>
      </x:c>
      <x:c r="H20" s="54" t="str">
        <x:v>IN STOCK</x:v>
      </x:c>
      <x:c r="I20" s="54" t="str">
        <x:v>Vishay</x:v>
      </x:c>
      <x:c r="J20" s="54" t="str">
        <x:v>CRCW06034K70FKEA</x:v>
      </x:c>
      <x:c r="K20" s="54" t="str">
        <x:v>71-CRCW0603-4.7K-E3</x:v>
      </x:c>
      <x:c r="L20" s="54" t="str">
        <x:v>4.7 kohm, 1%, 0.125 W, 0603</x:v>
      </x:c>
      <x:c r="M20" s="54" t="str">
        <x:v>A</x:v>
      </x:c>
      <x:c r="N20" s="54" t="str">
        <x:v>NO</x:v>
      </x:c>
      <x:c r="O20" s="54" t="str">
        <x:v>NO</x:v>
      </x:c>
      <x:c r="P20" s="54" t="str">
        <x:v>READY</x:v>
      </x:c>
      <x:c r="Q20" s="54" t="str">
        <x:v>Listing verified; recheck before PO</x:v>
      </x:c>
      <x:c r="R20" s="54" t="str">
        <x:v>https://www.mouser.com/c/?q=CRCW06034K70FKEA</x:v>
      </x:c>
      <x:c r="S20" s="54" t="str">
        <x:v>Direct resistor substitute.</x:v>
      </x:c>
    </x:row>
    <x:row r="21">
      <x:c r="A21" s="54" t="n">
        <x:v>16</x:v>
      </x:c>
      <x:c r="B21" s="54" t="n">
        <x:v>2</x:v>
      </x:c>
      <x:c r="C21" s="54" t="str">
        <x:v>R3 R4</x:v>
      </x:c>
      <x:c r="D21" s="54" t="str">
        <x:v>5.1 kohm 1% 0.1 W 0603 resistor</x:v>
      </x:c>
      <x:c r="E21" s="54" t="str">
        <x:v>YAGEO</x:v>
      </x:c>
      <x:c r="F21" s="54" t="str">
        <x:v>RC0603FR-075K1L</x:v>
      </x:c>
      <x:c r="G21" s="54" t="str">
        <x:v>603-RC0603FR-075K1L</x:v>
      </x:c>
      <x:c r="H21" s="54" t="str">
        <x:v>IN STOCK</x:v>
      </x:c>
      <x:c r="I21" s="54" t="str">
        <x:v>Vishay</x:v>
      </x:c>
      <x:c r="J21" s="54" t="str">
        <x:v>CRCW06035K10FKEA</x:v>
      </x:c>
      <x:c r="K21" s="54" t="str"/>
      <x:c r="L21" s="54" t="str">
        <x:v>5.1 kohm, 1%, 0.125 W, 0603</x:v>
      </x:c>
      <x:c r="M21" s="54" t="str">
        <x:v>A</x:v>
      </x:c>
      <x:c r="N21" s="54" t="str">
        <x:v>NO</x:v>
      </x:c>
      <x:c r="O21" s="54" t="str">
        <x:v>NO</x:v>
      </x:c>
      <x:c r="P21" s="54" t="str">
        <x:v>READY</x:v>
      </x:c>
      <x:c r="Q21" s="54" t="str">
        <x:v>Listing verified; recheck before PO</x:v>
      </x:c>
      <x:c r="R21" s="54" t="str">
        <x:v>https://www.mouser.com/c/?q=CRCW06035K10FKEA</x:v>
      </x:c>
      <x:c r="S21" s="54" t="str">
        <x:v>Direct resistor substitute.</x:v>
      </x:c>
    </x:row>
    <x:row r="22">
      <x:c r="A22" s="54" t="n">
        <x:v>17</x:v>
      </x:c>
      <x:c r="B22" s="54" t="n">
        <x:v>1</x:v>
      </x:c>
      <x:c r="C22" s="54" t="str">
        <x:v>R9</x:v>
      </x:c>
      <x:c r="D22" s="54" t="str">
        <x:v>3.32 kohm 1% 0.1 W 0603 resistor</x:v>
      </x:c>
      <x:c r="E22" s="54" t="str">
        <x:v>YAGEO</x:v>
      </x:c>
      <x:c r="F22" s="54" t="str">
        <x:v>RC0603FR-073K32L</x:v>
      </x:c>
      <x:c r="G22" s="54" t="str">
        <x:v>603-RC0603FR-073K32L</x:v>
      </x:c>
      <x:c r="H22" s="54" t="str">
        <x:v>BACKORDER / NO ON-HAND STOCK SHOWN</x:v>
      </x:c>
      <x:c r="I22" s="54" t="str">
        <x:v>Vishay</x:v>
      </x:c>
      <x:c r="J22" s="54" t="str">
        <x:v>CRCW06033K32FKEA</x:v>
      </x:c>
      <x:c r="K22" s="54" t="str">
        <x:v>71-CRCW0603-3.32K-E3</x:v>
      </x:c>
      <x:c r="L22" s="54" t="str">
        <x:v>3.32 kohm, 1%, 0.125 W, 0603</x:v>
      </x:c>
      <x:c r="M22" s="54" t="str">
        <x:v>A</x:v>
      </x:c>
      <x:c r="N22" s="54" t="str">
        <x:v>NO</x:v>
      </x:c>
      <x:c r="O22" s="54" t="str">
        <x:v>NO</x:v>
      </x:c>
      <x:c r="P22" s="54" t="str">
        <x:v>READY</x:v>
      </x:c>
      <x:c r="Q22" s="54" t="str">
        <x:v>21,653 snapshot</x:v>
      </x:c>
      <x:c r="R22" s="54" t="str">
        <x:v>https://www.mouser.com/c/?q=CRCW06033K32FKEA</x:v>
      </x:c>
      <x:c r="S22" s="54" t="str">
        <x:v>Direct resistor substitute.</x:v>
      </x:c>
    </x:row>
    <x:row r="23">
      <x:c r="A23" s="54" t="n">
        <x:v>18</x:v>
      </x:c>
      <x:c r="B23" s="54" t="n">
        <x:v>1</x:v>
      </x:c>
      <x:c r="C23" s="54" t="str">
        <x:v>R32</x:v>
      </x:c>
      <x:c r="D23" s="54" t="str">
        <x:v>68 kohm 1% 0.1 W 0603 resistor</x:v>
      </x:c>
      <x:c r="E23" s="54" t="str">
        <x:v>YAGEO</x:v>
      </x:c>
      <x:c r="F23" s="54" t="str">
        <x:v>RC0603FR-0768KL</x:v>
      </x:c>
      <x:c r="G23" s="54" t="str">
        <x:v>603-RC0603FR-0768KL</x:v>
      </x:c>
      <x:c r="H23" s="54" t="str">
        <x:v>IN STOCK</x:v>
      </x:c>
      <x:c r="I23" s="54" t="str">
        <x:v>Vishay</x:v>
      </x:c>
      <x:c r="J23" s="54" t="str">
        <x:v>CRCW060368K0FKEA</x:v>
      </x:c>
      <x:c r="K23" s="54" t="str">
        <x:v>71-CRCW0603-68K-E3</x:v>
      </x:c>
      <x:c r="L23" s="54" t="str">
        <x:v>68 kohm, 1%, 0.125 W, 0603</x:v>
      </x:c>
      <x:c r="M23" s="54" t="str">
        <x:v>A</x:v>
      </x:c>
      <x:c r="N23" s="54" t="str">
        <x:v>NO</x:v>
      </x:c>
      <x:c r="O23" s="54" t="str">
        <x:v>NO</x:v>
      </x:c>
      <x:c r="P23" s="54" t="str">
        <x:v>READY</x:v>
      </x:c>
      <x:c r="Q23" s="54" t="str">
        <x:v>27,307 snapshot</x:v>
      </x:c>
      <x:c r="R23" s="54" t="str">
        <x:v>https://www.mouser.com/c/?q=CRCW060368K0FKEA</x:v>
      </x:c>
      <x:c r="S23" s="54" t="str">
        <x:v>Direct resistor substitute.</x:v>
      </x:c>
    </x:row>
    <x:row r="24">
      <x:c r="A24" s="54" t="n">
        <x:v>19</x:v>
      </x:c>
      <x:c r="B24" s="54" t="n">
        <x:v>1</x:v>
      </x:c>
      <x:c r="C24" s="54" t="str">
        <x:v>R33</x:v>
      </x:c>
      <x:c r="D24" s="54" t="str">
        <x:v>82 kohm 1% 0.1 W 0603 resistor</x:v>
      </x:c>
      <x:c r="E24" s="54" t="str">
        <x:v>YAGEO</x:v>
      </x:c>
      <x:c r="F24" s="54" t="str">
        <x:v>RC0603FR-0782KL</x:v>
      </x:c>
      <x:c r="G24" s="54" t="str">
        <x:v>603-RC0603FR-0782KL</x:v>
      </x:c>
      <x:c r="H24" s="54" t="str">
        <x:v>IN STOCK</x:v>
      </x:c>
      <x:c r="I24" s="54" t="str">
        <x:v>Vishay</x:v>
      </x:c>
      <x:c r="J24" s="54" t="str">
        <x:v>CRCW060382K0FKEA</x:v>
      </x:c>
      <x:c r="K24" s="54" t="str"/>
      <x:c r="L24" s="54" t="str">
        <x:v>82 kohm, 1%, 0.125 W, 0603</x:v>
      </x:c>
      <x:c r="M24" s="54" t="str">
        <x:v>A</x:v>
      </x:c>
      <x:c r="N24" s="54" t="str">
        <x:v>NO</x:v>
      </x:c>
      <x:c r="O24" s="54" t="str">
        <x:v>NO</x:v>
      </x:c>
      <x:c r="P24" s="54" t="str">
        <x:v>READY</x:v>
      </x:c>
      <x:c r="Q24" s="54" t="str">
        <x:v>Listing verified; recheck before PO</x:v>
      </x:c>
      <x:c r="R24" s="54" t="str">
        <x:v>https://www.mouser.com/c/?q=CRCW060382K0FKEA</x:v>
      </x:c>
      <x:c r="S24" s="54" t="str">
        <x:v>Direct resistor substitute.</x:v>
      </x:c>
    </x:row>
    <x:row r="25">
      <x:c r="A25" s="54" t="n">
        <x:v>20</x:v>
      </x:c>
      <x:c r="B25" s="54" t="n">
        <x:v>7</x:v>
      </x:c>
      <x:c r="C25" s="54" t="str">
        <x:v>R6 R7 R8 R12 R13 R14 R15</x:v>
      </x:c>
      <x:c r="D25" s="54" t="str">
        <x:v>1 kohm 1% 0.1 W 0603 resistor</x:v>
      </x:c>
      <x:c r="E25" s="54" t="str">
        <x:v>YAGEO</x:v>
      </x:c>
      <x:c r="F25" s="54" t="str">
        <x:v>RC0603FR-071KL</x:v>
      </x:c>
      <x:c r="G25" s="54" t="str">
        <x:v>603-RC0603FR-071KL</x:v>
      </x:c>
      <x:c r="H25" s="54" t="str">
        <x:v>IN STOCK</x:v>
      </x:c>
      <x:c r="I25" s="54" t="str">
        <x:v>Vishay</x:v>
      </x:c>
      <x:c r="J25" s="54" t="str">
        <x:v>CRCW06031K00FKEA</x:v>
      </x:c>
      <x:c r="K25" s="54" t="str"/>
      <x:c r="L25" s="54" t="str">
        <x:v>1 kohm, 1%, 0.125 W, 0603</x:v>
      </x:c>
      <x:c r="M25" s="54" t="str">
        <x:v>A</x:v>
      </x:c>
      <x:c r="N25" s="54" t="str">
        <x:v>NO</x:v>
      </x:c>
      <x:c r="O25" s="54" t="str">
        <x:v>NO</x:v>
      </x:c>
      <x:c r="P25" s="54" t="str">
        <x:v>READY</x:v>
      </x:c>
      <x:c r="Q25" s="54" t="str">
        <x:v>Listing verified; recheck before PO</x:v>
      </x:c>
      <x:c r="R25" s="54" t="str">
        <x:v>https://www.mouser.com/c/?q=CRCW06031K00FKEA</x:v>
      </x:c>
      <x:c r="S25" s="54" t="str">
        <x:v>Direct resistor substitute.</x:v>
      </x:c>
    </x:row>
    <x:row r="26">
      <x:c r="A26" s="54" t="n">
        <x:v>21</x:v>
      </x:c>
      <x:c r="B26" s="54" t="n">
        <x:v>1</x:v>
      </x:c>
      <x:c r="C26" s="54" t="str">
        <x:v>RV1</x:v>
      </x:c>
      <x:c r="D26" s="54" t="str">
        <x:v>10 kohm linear through-hole volume potentiometer</x:v>
      </x:c>
      <x:c r="E26" s="54" t="str">
        <x:v>Bourns</x:v>
      </x:c>
      <x:c r="F26" s="54" t="str">
        <x:v>PTV09A-2015F-B103</x:v>
      </x:c>
      <x:c r="G26" s="54" t="str">
        <x:v>652-PTV09A-2015FB103</x:v>
      </x:c>
      <x:c r="H26" s="54" t="str">
        <x:v>IN STOCK</x:v>
      </x:c>
      <x:c r="I26" s="54" t="str">
        <x:v>Bourns</x:v>
      </x:c>
      <x:c r="J26" s="54" t="str">
        <x:v>PTV09A-2015U-B103</x:v>
      </x:c>
      <x:c r="K26" s="54" t="str">
        <x:v>652-PTV09A2015UB103</x:v>
      </x:c>
      <x:c r="L26" s="54" t="str">
        <x:v>10 kohm linear PCB potentiometer, PTV09A family</x:v>
      </x:c>
      <x:c r="M26" s="54" t="str">
        <x:v>B</x:v>
      </x:c>
      <x:c r="N26" s="54" t="str">
        <x:v>NO</x:v>
      </x:c>
      <x:c r="O26" s="54" t="str">
        <x:v>YES</x:v>
      </x:c>
      <x:c r="P26" s="54" t="str">
        <x:v>READY</x:v>
      </x:c>
      <x:c r="Q26" s="54" t="str">
        <x:v>~300 regional snapshot</x:v>
      </x:c>
      <x:c r="R26" s="54" t="str">
        <x:v>https://www.mouser.com/c/?q=PTV09A-2015U-B103</x:v>
      </x:c>
      <x:c r="S26" s="54" t="str">
        <x:v>Same electrical family and PCB mounting; U-shaft differs from the primary F-shaft. Verify knob/shaft mechanical fit.</x:v>
      </x:c>
    </x:row>
    <x:row r="27">
      <x:c r="A27" s="54" t="n">
        <x:v>22</x:v>
      </x:c>
      <x:c r="B27" s="54" t="n">
        <x:v>1</x:v>
      </x:c>
      <x:c r="C27" s="54" t="str">
        <x:v>U5</x:v>
      </x:c>
      <x:c r="D27" s="54" t="str">
        <x:v>PCM5102A stereo audio DAC</x:v>
      </x:c>
      <x:c r="E27" s="54" t="str">
        <x:v>Texas Instruments</x:v>
      </x:c>
      <x:c r="F27" s="54" t="str">
        <x:v>PCM5102APWR</x:v>
      </x:c>
      <x:c r="G27" s="54" t="str">
        <x:v>595-PCM5102APWR</x:v>
      </x:c>
      <x:c r="H27" s="54" t="str">
        <x:v>LOW STOCK</x:v>
      </x:c>
      <x:c r="I27" s="54" t="str">
        <x:v>Texas Instruments</x:v>
      </x:c>
      <x:c r="J27" s="54" t="str">
        <x:v>PCM5102APW</x:v>
      </x:c>
      <x:c r="K27" s="54" t="str">
        <x:v>595-PCM5102APW</x:v>
      </x:c>
      <x:c r="L27" s="54" t="str">
        <x:v>PCM5102A stereo DAC, TSSOP-20, tube packaging</x:v>
      </x:c>
      <x:c r="M27" s="54" t="str">
        <x:v>A</x:v>
      </x:c>
      <x:c r="N27" s="54" t="str">
        <x:v>NO</x:v>
      </x:c>
      <x:c r="O27" s="54" t="str">
        <x:v>NO</x:v>
      </x:c>
      <x:c r="P27" s="54" t="str">
        <x:v>READY</x:v>
      </x:c>
      <x:c r="Q27" s="54" t="str">
        <x:v>In stock snapshot</x:v>
      </x:c>
      <x:c r="R27" s="54" t="str">
        <x:v>https://www.mouser.com/c/?q=PCM5102APW</x:v>
      </x:c>
      <x:c r="S27" s="54" t="str">
        <x:v>Same silicon/package/pinout; packaging-only alternate to PCM5102APWR.</x:v>
      </x:c>
    </x:row>
    <x:row r="28">
      <x:c r="A28" s="54" t="n">
        <x:v>23</x:v>
      </x:c>
      <x:c r="B28" s="54" t="n">
        <x:v>1</x:v>
      </x:c>
      <x:c r="C28" s="54" t="str">
        <x:v>U6</x:v>
      </x:c>
      <x:c r="D28" s="54" t="str">
        <x:v>PAM8302A mono Class-D amplifier</x:v>
      </x:c>
      <x:c r="E28" s="54" t="str">
        <x:v>Diodes Incorporated</x:v>
      </x:c>
      <x:c r="F28" s="54" t="str">
        <x:v>PAM8302AADCR</x:v>
      </x:c>
      <x:c r="G28" s="54" t="str">
        <x:v>621-PAM8302AADCR</x:v>
      </x:c>
      <x:c r="H28" s="54" t="str">
        <x:v>IN STOCK</x:v>
      </x:c>
      <x:c r="I28" s="54" t="str">
        <x:v>Diodes Incorporated</x:v>
      </x:c>
      <x:c r="J28" s="54" t="str">
        <x:v>PAM8302AASCR</x:v>
      </x:c>
      <x:c r="K28" s="54" t="str">
        <x:v>621-PAM8302AASCR</x:v>
      </x:c>
      <x:c r="L28" s="54" t="str">
        <x:v>PAM8302A mono Class-D amplifier, MSOP-8</x:v>
      </x:c>
      <x:c r="M28" s="54" t="str">
        <x:v>D</x:v>
      </x:c>
      <x:c r="N28" s="54" t="str">
        <x:v>YES</x:v>
      </x:c>
      <x:c r="O28" s="54" t="str">
        <x:v>YES</x:v>
      </x:c>
      <x:c r="P28" s="54" t="str">
        <x:v>REVIEW</x:v>
      </x:c>
      <x:c r="Q28" s="54" t="str">
        <x:v>138,142 snapshot</x:v>
      </x:c>
      <x:c r="R28" s="54" t="str">
        <x:v>https://www.mouser.com/c/?q=PAM8302AASCR</x:v>
      </x:c>
      <x:c r="S28" s="54" t="str">
        <x:v>Same PAM8302A function/silicon family, but S-package is MSOP-8 instead of the primary SO-8. New footprint required.</x:v>
      </x:c>
    </x:row>
    <x:row r="29">
      <x:c r="A29" s="54" t="n">
        <x:v>24</x:v>
      </x:c>
      <x:c r="B29" s="54" t="n">
        <x:v>1</x:v>
      </x:c>
      <x:c r="C29" s="54" t="str">
        <x:v>U7</x:v>
      </x:c>
      <x:c r="D29" s="54" t="str">
        <x:v>PAM8406 stereo Class-D amplifier</x:v>
      </x:c>
      <x:c r="E29" s="54" t="str">
        <x:v>Diodes Incorporated</x:v>
      </x:c>
      <x:c r="F29" s="54" t="str">
        <x:v>PAM8406DR</x:v>
      </x:c>
      <x:c r="G29" s="54" t="str">
        <x:v>621-PAM8406DR</x:v>
      </x:c>
      <x:c r="H29" s="54" t="str">
        <x:v>IN STOCK</x:v>
      </x:c>
      <x:c r="I29" s="54" t="str">
        <x:v>Texas Instruments</x:v>
      </x:c>
      <x:c r="J29" s="54" t="str">
        <x:v>TPA2008D2PWPR</x:v>
      </x:c>
      <x:c r="K29" s="54" t="str">
        <x:v>595-TPA2008D2PWPR</x:v>
      </x:c>
      <x:c r="L29" s="54" t="str">
        <x:v>Stereo Class-D amplifier, ~3 W/channel, HTSSOP-24, 4.5-5.5 V</x:v>
      </x:c>
      <x:c r="M29" s="54" t="str">
        <x:v>D</x:v>
      </x:c>
      <x:c r="N29" s="54" t="str">
        <x:v>YES</x:v>
      </x:c>
      <x:c r="O29" s="54" t="str">
        <x:v>YES</x:v>
      </x:c>
      <x:c r="P29" s="54" t="str">
        <x:v>REVIEW</x:v>
      </x:c>
      <x:c r="Q29" s="54" t="str">
        <x:v>1,684 snapshot</x:v>
      </x:c>
      <x:c r="R29" s="54" t="str">
        <x:v>https://www.mouser.com/c/?q=TPA2008D2PWPR</x:v>
      </x:c>
      <x:c r="S29" s="54" t="str">
        <x:v>Active stereo Class-D replacement candidate, not pin-compatible. Requires schematic/PCB redesign and confirmed regulated 5 V rail; does not reproduce PAM8406 Class-AB mode.</x:v>
      </x:c>
    </x:row>
    <x:row r="30">
      <x:c r="A30" s="54" t="n">
        <x:v>25</x:v>
      </x:c>
      <x:c r="B30" s="54" t="n">
        <x:v>2</x:v>
      </x:c>
      <x:c r="C30" s="54" t="str">
        <x:v>FB1 FB4</x:v>
      </x:c>
      <x:c r="D30" s="54" t="str">
        <x:v>Ferrite bead 0603</x:v>
      </x:c>
      <x:c r="E30" s="54" t="str">
        <x:v>TDK</x:v>
      </x:c>
      <x:c r="F30" s="54" t="str">
        <x:v>MPZ1608S601ATA00</x:v>
      </x:c>
      <x:c r="G30" s="54" t="str">
        <x:v>810-MPZ1608S601ATA00</x:v>
      </x:c>
      <x:c r="H30" s="54" t="str">
        <x:v>IN STOCK</x:v>
      </x:c>
      <x:c r="I30" s="54" t="str">
        <x:v>Murata Electronics</x:v>
      </x:c>
      <x:c r="J30" s="54" t="str">
        <x:v>BLM18SP601SN1D</x:v>
      </x:c>
      <x:c r="K30" s="54" t="str">
        <x:v>81-BLM18SP601SN1D</x:v>
      </x:c>
      <x:c r="L30" s="54" t="str">
        <x:v>600 ohm @ 100 MHz ferrite bead, 0603</x:v>
      </x:c>
      <x:c r="M30" s="54" t="str">
        <x:v>A</x:v>
      </x:c>
      <x:c r="N30" s="54" t="str">
        <x:v>NO</x:v>
      </x:c>
      <x:c r="O30" s="54" t="str">
        <x:v>NO</x:v>
      </x:c>
      <x:c r="P30" s="54" t="str">
        <x:v>READY</x:v>
      </x:c>
      <x:c r="Q30" s="54" t="str">
        <x:v>18,672 snapshot</x:v>
      </x:c>
      <x:c r="R30" s="54" t="str">
        <x:v>https://www.mouser.com/c/?q=BLM18SP601SN1D</x:v>
      </x:c>
      <x:c r="S30" s="54" t="str">
        <x:v>Same 0603 class and 600-ohm impedance target; verify DC current/impedance curve against final rail current.</x:v>
      </x:c>
    </x:row>
    <x:row r="31">
      <x:c r="A31" s="54" t="n">
        <x:v>26</x:v>
      </x:c>
      <x:c r="B31" s="54" t="n">
        <x:v>1</x:v>
      </x:c>
      <x:c r="C31" s="54" t="str">
        <x:v>D1</x:v>
      </x:c>
      <x:c r="D31" s="54" t="str">
        <x:v>PMEG40T30ER Schottky diode</x:v>
      </x:c>
      <x:c r="E31" s="54" t="str">
        <x:v>Nexperia</x:v>
      </x:c>
      <x:c r="F31" s="54" t="str">
        <x:v>PMEG40T30ERX</x:v>
      </x:c>
      <x:c r="G31" s="54" t="str">
        <x:v>771-PMEG40T30ERX</x:v>
      </x:c>
      <x:c r="H31" s="54" t="str">
        <x:v>IN STOCK</x:v>
      </x:c>
      <x:c r="I31" s="54" t="str">
        <x:v>Nexperia</x:v>
      </x:c>
      <x:c r="J31" s="54" t="str">
        <x:v>PMEG4030ER-QX</x:v>
      </x:c>
      <x:c r="K31" s="54" t="str">
        <x:v>771-PMEG4030ER-QX</x:v>
      </x:c>
      <x:c r="L31" s="54" t="str">
        <x:v>40 V, 3 A Schottky, CFP3 / SOD-123W</x:v>
      </x:c>
      <x:c r="M31" s="54" t="str">
        <x:v>A</x:v>
      </x:c>
      <x:c r="N31" s="54" t="str">
        <x:v>NO</x:v>
      </x:c>
      <x:c r="O31" s="54" t="str">
        <x:v>NO</x:v>
      </x:c>
      <x:c r="P31" s="54" t="str">
        <x:v>READY</x:v>
      </x:c>
      <x:c r="Q31" s="54" t="str">
        <x:v>1,523 snapshot</x:v>
      </x:c>
      <x:c r="R31" s="54" t="str">
        <x:v>https://www.mouser.com/c/?q=PMEG4030ER-QX</x:v>
      </x:c>
      <x:c r="S31" s="54" t="str">
        <x:v>Same package class and key ratings; automotive-qualified variant.</x:v>
      </x:c>
    </x:row>
    <x:row r="32">
      <x:c r="A32" s="54" t="n">
        <x:v>27</x:v>
      </x:c>
      <x:c r="B32" s="54" t="n">
        <x:v>1</x:v>
      </x:c>
      <x:c r="C32" s="54" t="str">
        <x:v>D2</x:v>
      </x:c>
      <x:c r="D32" s="54" t="str">
        <x:v>Red 0603 LED</x:v>
      </x:c>
      <x:c r="E32" s="54" t="str">
        <x:v>LITEON</x:v>
      </x:c>
      <x:c r="F32" s="54" t="str">
        <x:v>LTST-C190KRKT</x:v>
      </x:c>
      <x:c r="G32" s="54" t="str">
        <x:v>859-LTST-C190KRKT</x:v>
      </x:c>
      <x:c r="H32" s="54" t="str">
        <x:v>IN STOCK</x:v>
      </x:c>
      <x:c r="I32" s="54" t="str">
        <x:v>Kingbright</x:v>
      </x:c>
      <x:c r="J32" s="54" t="str">
        <x:v>AP1608EC</x:v>
      </x:c>
      <x:c r="K32" s="54" t="str">
        <x:v>604-AP1608EC</x:v>
      </x:c>
      <x:c r="L32" s="54" t="str">
        <x:v>Red LED, 0603, ~625 nm</x:v>
      </x:c>
      <x:c r="M32" s="54" t="str">
        <x:v>B</x:v>
      </x:c>
      <x:c r="N32" s="54" t="str">
        <x:v>NO</x:v>
      </x:c>
      <x:c r="O32" s="54" t="str">
        <x:v>NO</x:v>
      </x:c>
      <x:c r="P32" s="54" t="str">
        <x:v>READY</x:v>
      </x:c>
      <x:c r="Q32" s="54" t="str">
        <x:v>Listing verified; recheck before PO</x:v>
      </x:c>
      <x:c r="R32" s="54" t="str">
        <x:v>https://www.mouser.com/c/?q=AP1608EC</x:v>
      </x:c>
      <x:c r="S32" s="54" t="str">
        <x:v>Same 0603 function; optical intensity/viewing characteristics differ.</x:v>
      </x:c>
    </x:row>
    <x:row r="33">
      <x:c r="A33" s="54" t="n">
        <x:v>28</x:v>
      </x:c>
      <x:c r="B33" s="54" t="n">
        <x:v>1</x:v>
      </x:c>
      <x:c r="C33" s="54" t="str">
        <x:v>D3</x:v>
      </x:c>
      <x:c r="D33" s="54" t="str">
        <x:v>Green 0603 LED</x:v>
      </x:c>
      <x:c r="E33" s="54" t="str">
        <x:v>LITEON</x:v>
      </x:c>
      <x:c r="F33" s="54" t="str">
        <x:v>LTST-C190KGKT</x:v>
      </x:c>
      <x:c r="G33" s="54" t="str">
        <x:v>859-LTST-C190KGKT</x:v>
      </x:c>
      <x:c r="H33" s="54" t="str">
        <x:v>IN STOCK</x:v>
      </x:c>
      <x:c r="I33" s="54" t="str">
        <x:v>Kingbright</x:v>
      </x:c>
      <x:c r="J33" s="54" t="str">
        <x:v>APT1608SGC</x:v>
      </x:c>
      <x:c r="K33" s="54" t="str">
        <x:v>604-APT1608SGC</x:v>
      </x:c>
      <x:c r="L33" s="54" t="str">
        <x:v>Green LED, 0603, ~568 nm</x:v>
      </x:c>
      <x:c r="M33" s="54" t="str">
        <x:v>B</x:v>
      </x:c>
      <x:c r="N33" s="54" t="str">
        <x:v>NO</x:v>
      </x:c>
      <x:c r="O33" s="54" t="str">
        <x:v>NO</x:v>
      </x:c>
      <x:c r="P33" s="54" t="str">
        <x:v>READY</x:v>
      </x:c>
      <x:c r="Q33" s="54" t="str">
        <x:v>94,174 snapshot</x:v>
      </x:c>
      <x:c r="R33" s="54" t="str">
        <x:v>https://www.mouser.com/c/?q=APT1608SGC</x:v>
      </x:c>
      <x:c r="S33" s="54" t="str">
        <x:v>Same 0603 function; optical intensity/color bin differs.</x:v>
      </x:c>
    </x:row>
    <x:row r="34">
      <x:c r="A34" s="54" t="n">
        <x:v>29</x:v>
      </x:c>
      <x:c r="B34" s="54" t="n">
        <x:v>1</x:v>
      </x:c>
      <x:c r="C34" s="54" t="str">
        <x:v>D4</x:v>
      </x:c>
      <x:c r="D34" s="54" t="str">
        <x:v>Orange 0603 LED</x:v>
      </x:c>
      <x:c r="E34" s="54" t="str">
        <x:v>LITEON</x:v>
      </x:c>
      <x:c r="F34" s="54" t="str">
        <x:v>LTST-C190KFKT</x:v>
      </x:c>
      <x:c r="G34" s="54" t="str">
        <x:v>859-LTST-C190KFKT</x:v>
      </x:c>
      <x:c r="H34" s="54" t="str">
        <x:v>IN STOCK</x:v>
      </x:c>
      <x:c r="I34" s="54" t="str">
        <x:v>Kingbright</x:v>
      </x:c>
      <x:c r="J34" s="54" t="str">
        <x:v>APT1608SECK</x:v>
      </x:c>
      <x:c r="K34" s="54" t="str">
        <x:v>604-APT1608SECK</x:v>
      </x:c>
      <x:c r="L34" s="54" t="str">
        <x:v>Orange LED, 0603, ~601 nm</x:v>
      </x:c>
      <x:c r="M34" s="54" t="str">
        <x:v>B</x:v>
      </x:c>
      <x:c r="N34" s="54" t="str">
        <x:v>NO</x:v>
      </x:c>
      <x:c r="O34" s="54" t="str">
        <x:v>NO</x:v>
      </x:c>
      <x:c r="P34" s="54" t="str">
        <x:v>READY</x:v>
      </x:c>
      <x:c r="Q34" s="54" t="str">
        <x:v>Listing verified; recheck before PO</x:v>
      </x:c>
      <x:c r="R34" s="54" t="str">
        <x:v>https://www.mouser.com/c/?q=APT1608SECK</x:v>
      </x:c>
      <x:c r="S34" s="54" t="str">
        <x:v>Same 0603 function; optical intensity/color bin differs.</x:v>
      </x:c>
    </x:row>
    <x:row r="35">
      <x:c r="A35" s="54" t="n">
        <x:v>30</x:v>
      </x:c>
      <x:c r="B35" s="54" t="n">
        <x:v>1</x:v>
      </x:c>
      <x:c r="C35" s="54" t="str">
        <x:v>D5</x:v>
      </x:c>
      <x:c r="D35" s="54" t="str">
        <x:v>BAT54C dual common-cathode Schottky diode</x:v>
      </x:c>
      <x:c r="E35" s="54" t="str">
        <x:v>Diodes Incorporated</x:v>
      </x:c>
      <x:c r="F35" s="54" t="str">
        <x:v>BAT54C-7-F</x:v>
      </x:c>
      <x:c r="G35" s="54" t="str">
        <x:v>621-BAT54C-F</x:v>
      </x:c>
      <x:c r="H35" s="54" t="str">
        <x:v>BACKORDER / NO ON-HAND STOCK SHOWN</x:v>
      </x:c>
      <x:c r="I35" s="54" t="str">
        <x:v>onsemi</x:v>
      </x:c>
      <x:c r="J35" s="54" t="str">
        <x:v>BAT54CLT1G</x:v>
      </x:c>
      <x:c r="K35" s="54" t="str">
        <x:v>863-BAT54CLT1G</x:v>
      </x:c>
      <x:c r="L35" s="54" t="str">
        <x:v>BAT54C dual common-cathode Schottky, SOT-23</x:v>
      </x:c>
      <x:c r="M35" s="54" t="str">
        <x:v>A</x:v>
      </x:c>
      <x:c r="N35" s="54" t="str">
        <x:v>NO</x:v>
      </x:c>
      <x:c r="O35" s="54" t="str">
        <x:v>NO</x:v>
      </x:c>
      <x:c r="P35" s="54" t="str">
        <x:v>READY</x:v>
      </x:c>
      <x:c r="Q35" s="54" t="str">
        <x:v>11,495 regional snapshot</x:v>
      </x:c>
      <x:c r="R35" s="54" t="str">
        <x:v>https://www.mouser.com/c/?q=BAT54CLT1G</x:v>
      </x:c>
      <x:c r="S35" s="54" t="str">
        <x:v>Direct pin/function/package substitute.</x:v>
      </x:c>
    </x:row>
    <x:row r="36">
      <x:c r="A36" s="54" t="n">
        <x:v>31</x:v>
      </x:c>
      <x:c r="B36" s="54" t="n">
        <x:v>2</x:v>
      </x:c>
      <x:c r="C36" s="54" t="str">
        <x:v>Q1 Q2</x:v>
      </x:c>
      <x:c r="D36" s="54" t="str">
        <x:v>P-channel MOSFET</x:v>
      </x:c>
      <x:c r="E36" s="54" t="str">
        <x:v>Diodes Incorporated</x:v>
      </x:c>
      <x:c r="F36" s="54" t="str">
        <x:v>DMP2035U-7</x:v>
      </x:c>
      <x:c r="G36" s="54" t="str">
        <x:v>621-DMP2035U-7</x:v>
      </x:c>
      <x:c r="H36" s="54" t="str">
        <x:v>BACKORDER / NO ON-HAND STOCK SHOWN</x:v>
      </x:c>
      <x:c r="I36" s="54" t="str">
        <x:v>Diodes Incorporated</x:v>
      </x:c>
      <x:c r="J36" s="54" t="str">
        <x:v>DMP2035UQ-7</x:v>
      </x:c>
      <x:c r="K36" s="54" t="str">
        <x:v>621-DMP2035UQ-7</x:v>
      </x:c>
      <x:c r="L36" s="54" t="str">
        <x:v>P-channel MOSFET, same DMP2035U family, SOT-23</x:v>
      </x:c>
      <x:c r="M36" s="54" t="str">
        <x:v>A</x:v>
      </x:c>
      <x:c r="N36" s="54" t="str">
        <x:v>NO</x:v>
      </x:c>
      <x:c r="O36" s="54" t="str">
        <x:v>NO</x:v>
      </x:c>
      <x:c r="P36" s="54" t="str">
        <x:v>READY</x:v>
      </x:c>
      <x:c r="Q36" s="54" t="str">
        <x:v>4,285 snapshot</x:v>
      </x:c>
      <x:c r="R36" s="54" t="str">
        <x:v>https://www.mouser.com/c/?q=DMP2035UQ-7</x:v>
      </x:c>
      <x:c r="S36" s="54" t="str">
        <x:v>Same-family qualified variant; direct footprint/pinout substitute.</x:v>
      </x:c>
    </x:row>
    <x:row r="37">
      <x:c r="A37" s="54" t="n">
        <x:v>32</x:v>
      </x:c>
      <x:c r="B37" s="54" t="n">
        <x:v>1</x:v>
      </x:c>
      <x:c r="C37" s="54" t="str">
        <x:v>SW19</x:v>
      </x:c>
      <x:c r="D37" s="54" t="str">
        <x:v>SPDT through-hole slide power switch</x:v>
      </x:c>
      <x:c r="E37" s="54" t="str">
        <x:v>SparkFun Electronics</x:v>
      </x:c>
      <x:c r="F37" s="54" t="str">
        <x:v>COM-00102</x:v>
      </x:c>
      <x:c r="G37" s="54" t="str">
        <x:v>474-COM-00102</x:v>
      </x:c>
      <x:c r="H37" s="54" t="str">
        <x:v>LOW STOCK</x:v>
      </x:c>
      <x:c r="I37" s="54" t="str">
        <x:v>E-Switch</x:v>
      </x:c>
      <x:c r="J37" s="54" t="str">
        <x:v>EG1218</x:v>
      </x:c>
      <x:c r="K37" s="54" t="str"/>
      <x:c r="L37" s="54" t="str">
        <x:v>SPDT ON-ON through-hole slide switch</x:v>
      </x:c>
      <x:c r="M37" s="54" t="str">
        <x:v>C</x:v>
      </x:c>
      <x:c r="N37" s="54" t="str">
        <x:v>VERIFY</x:v>
      </x:c>
      <x:c r="O37" s="54" t="str">
        <x:v>YES</x:v>
      </x:c>
      <x:c r="P37" s="54" t="str">
        <x:v>REVIEW</x:v>
      </x:c>
      <x:c r="Q37" s="54" t="str">
        <x:v>Listing verified; mechanical check required</x:v>
      </x:c>
      <x:c r="R37" s="54" t="str">
        <x:v>https://www.mouser.com/c/?q=EG1218</x:v>
      </x:c>
      <x:c r="S37" s="54" t="str">
        <x:v>Electrical function matches. Verify pin spacing, actuator height and case envelope against the SparkFun 11.6 x 4.0 mm custom footprint.</x:v>
      </x:c>
    </x:row>
    <x:row r="38">
      <x:c r="A38" s="54" t="n">
        <x:v>33</x:v>
      </x:c>
      <x:c r="B38" s="54" t="n">
        <x:v>1</x:v>
      </x:c>
      <x:c r="C38" s="54" t="str">
        <x:v>TH1 board header</x:v>
      </x:c>
      <x:c r="D38" s="54" t="str">
        <x:v>1x02 2.54 mm vertical header for thermistor</x:v>
      </x:c>
      <x:c r="E38" s="54" t="str"/>
      <x:c r="F38" s="54" t="str"/>
      <x:c r="G38" s="54" t="str"/>
      <x:c r="H38" s="54" t="str">
        <x:v>NOT FOUND / NOT SPECIFIED</x:v>
      </x:c>
      <x:c r="I38" s="54" t="str">
        <x:v>Samtec</x:v>
      </x:c>
      <x:c r="J38" s="54" t="str">
        <x:v>TSW-102-07-G-S</x:v>
      </x:c>
      <x:c r="K38" s="54" t="str">
        <x:v>200-TSW10207GS</x:v>
      </x:c>
      <x:c r="L38" s="54" t="str">
        <x:v>1x02, 2.54 mm pitch vertical through-hole header</x:v>
      </x:c>
      <x:c r="M38" s="54" t="str">
        <x:v>B</x:v>
      </x:c>
      <x:c r="N38" s="54" t="str">
        <x:v>NO</x:v>
      </x:c>
      <x:c r="O38" s="54" t="str">
        <x:v>VERIFY</x:v>
      </x:c>
      <x:c r="P38" s="54" t="str">
        <x:v>READY</x:v>
      </x:c>
      <x:c r="Q38" s="54" t="str">
        <x:v>Listing verified; recheck before PO</x:v>
      </x:c>
      <x:c r="R38" s="54" t="str">
        <x:v>https://www.mouser.com/c/?q=TSW-102-07-G-S</x:v>
      </x:c>
      <x:c r="S38" s="54" t="str">
        <x:v>Fits the generic 1x02 2.54 mm footprint. Verify insulator height and mating/pin length.</x:v>
      </x:c>
    </x:row>
    <x:row r="39">
      <x:c r="A39" s="54" t="n">
        <x:v>34</x:v>
      </x:c>
      <x:c r="B39" s="54" t="n">
        <x:v>1</x:v>
      </x:c>
      <x:c r="C39" s="54" t="str">
        <x:v>U1</x:v>
      </x:c>
      <x:c r="D39" s="54" t="str">
        <x:v>Single-cell Li-Ion/Li-Po charge controller</x:v>
      </x:c>
      <x:c r="E39" s="54" t="str">
        <x:v>Microchip</x:v>
      </x:c>
      <x:c r="F39" s="54" t="str">
        <x:v>MCP73833-FCI/UN</x:v>
      </x:c>
      <x:c r="G39" s="54" t="str">
        <x:v>579-MCP73833-FCI/UN</x:v>
      </x:c>
      <x:c r="H39" s="54" t="str">
        <x:v>IN STOCK</x:v>
      </x:c>
      <x:c r="I39" s="54" t="str">
        <x:v>Microchip Technology</x:v>
      </x:c>
      <x:c r="J39" s="54" t="str">
        <x:v>MCP73833T-FCI/UN</x:v>
      </x:c>
      <x:c r="K39" s="54" t="str">
        <x:v>579-MCP73833T-FCI/UN</x:v>
      </x:c>
      <x:c r="L39" s="54" t="str">
        <x:v>MCP73833 charger, MSOP-10, tape/reel</x:v>
      </x:c>
      <x:c r="M39" s="54" t="str">
        <x:v>A</x:v>
      </x:c>
      <x:c r="N39" s="54" t="str">
        <x:v>NO</x:v>
      </x:c>
      <x:c r="O39" s="54" t="str">
        <x:v>NO</x:v>
      </x:c>
      <x:c r="P39" s="54" t="str">
        <x:v>READY</x:v>
      </x:c>
      <x:c r="Q39" s="54" t="str">
        <x:v>2,956 snapshot</x:v>
      </x:c>
      <x:c r="R39" s="54" t="str">
        <x:v>https://www.mouser.com/c/?q=MCP73833T-FCI%2FUN</x:v>
      </x:c>
      <x:c r="S39" s="54" t="str">
        <x:v>Same device/package/pinout; tape-and-reel packaging variant.</x:v>
      </x:c>
    </x:row>
    <x:row r="40">
      <x:c r="A40" s="54" t="n">
        <x:v>35</x:v>
      </x:c>
      <x:c r="B40" s="54" t="n">
        <x:v>1</x:v>
      </x:c>
      <x:c r="C40" s="54" t="str">
        <x:v>U2</x:v>
      </x:c>
      <x:c r="D40" s="54" t="str">
        <x:v>JST-PH right-angle 2-pin battery header</x:v>
      </x:c>
      <x:c r="E40" s="54" t="str">
        <x:v>JST</x:v>
      </x:c>
      <x:c r="F40" s="54" t="str">
        <x:v>S2B-PH-K-S(LF)(SN)</x:v>
      </x:c>
      <x:c r="G40" s="54" t="str">
        <x:v>306-S2BPHKSLFSNPP</x:v>
      </x:c>
      <x:c r="H40" s="54" t="str">
        <x:v>IN STOCK</x:v>
      </x:c>
      <x:c r="I40" s="54" t="str">
        <x:v>JST</x:v>
      </x:c>
      <x:c r="J40" s="54" t="str">
        <x:v>S2B-PH-K-S-GW</x:v>
      </x:c>
      <x:c r="K40" s="54" t="str">
        <x:v>306-S2BPHKSGWPP</x:v>
      </x:c>
      <x:c r="L40" s="54" t="str">
        <x:v>PH series, 2-position, 2.0 mm, right-angle THT header</x:v>
      </x:c>
      <x:c r="M40" s="54" t="str">
        <x:v>B</x:v>
      </x:c>
      <x:c r="N40" s="54" t="str">
        <x:v>NO</x:v>
      </x:c>
      <x:c r="O40" s="54" t="str">
        <x:v>VERIFY</x:v>
      </x:c>
      <x:c r="P40" s="54" t="str">
        <x:v>READY</x:v>
      </x:c>
      <x:c r="Q40" s="54" t="str">
        <x:v>3,783 snapshot</x:v>
      </x:c>
      <x:c r="R40" s="54" t="str">
        <x:v>https://www.mouser.com/c/?q=S2B-PH-K-S-GW</x:v>
      </x:c>
      <x:c r="S40" s="54" t="str">
        <x:v>Same JST PH geometry/mating system; GW material/spec variant. Verify body/keying/material requirement.</x:v>
      </x:c>
    </x:row>
    <x:row r="41">
      <x:c r="A41" s="54" t="n">
        <x:v>36</x:v>
      </x:c>
      <x:c r="B41" s="54" t="n">
        <x:v>14</x:v>
      </x:c>
      <x:c r="C41" s="54" t="str">
        <x:v>SW2 SW3 SW4 SW5 SW6 SW7 SW8 SW9 SW10 SW11 SW12 SW13 SW14 SW15</x:v>
      </x:c>
      <x:c r="D41" s="54" t="str">
        <x:v>Tactile pushbutton switch</x:v>
      </x:c>
      <x:c r="E41" s="54" t="str">
        <x:v>E-Switch</x:v>
      </x:c>
      <x:c r="F41" s="54" t="str">
        <x:v>TL3301NF160QG</x:v>
      </x:c>
      <x:c r="G41" s="54" t="str">
        <x:v>612-TL3301N</x:v>
      </x:c>
      <x:c r="H41" s="54" t="str">
        <x:v>IN STOCK</x:v>
      </x:c>
      <x:c r="I41" s="54" t="str">
        <x:v>E-Switch</x:v>
      </x:c>
      <x:c r="J41" s="54" t="str">
        <x:v>TL3301NF260QG</x:v>
      </x:c>
      <x:c r="K41" s="54" t="str">
        <x:v>612-TL3301NF</x:v>
      </x:c>
      <x:c r="L41" s="54" t="str">
        <x:v>6x6 mm SMD tactile switch, 260 gf</x:v>
      </x:c>
      <x:c r="M41" s="54" t="str">
        <x:v>B</x:v>
      </x:c>
      <x:c r="N41" s="54" t="str">
        <x:v>NO</x:v>
      </x:c>
      <x:c r="O41" s="54" t="str">
        <x:v>NO</x:v>
      </x:c>
      <x:c r="P41" s="54" t="str">
        <x:v>READY</x:v>
      </x:c>
      <x:c r="Q41" s="54" t="str">
        <x:v>1,102 snapshot</x:v>
      </x:c>
      <x:c r="R41" s="54" t="str">
        <x:v>https://www.mouser.com/c/?q=TL3301NF260QG</x:v>
      </x:c>
      <x:c r="S41" s="54" t="str">
        <x:v>Same TL3301 footprint/family; actuation force increases from 160 gf to 260 gf.</x:v>
      </x:c>
    </x:row>
    <x:row r="42">
      <x:c r="A42" s="54" t="n">
        <x:v>37</x:v>
      </x:c>
      <x:c r="B42" s="54" t="n">
        <x:v>2</x:v>
      </x:c>
      <x:c r="C42" s="54" t="str">
        <x:v>SW16 SW17</x:v>
      </x:c>
      <x:c r="D42" s="54" t="str">
        <x:v>Dual-axis Hall-effect joystick with push switch</x:v>
      </x:c>
      <x:c r="E42" s="54" t="str"/>
      <x:c r="F42" s="54" t="str">
        <x:v>FJH10K-S2</x:v>
      </x:c>
      <x:c r="G42" s="54" t="str"/>
      <x:c r="H42" s="54" t="str">
        <x:v>NOT FOUND / NOT SPECIFIED</x:v>
      </x:c>
      <x:c r="I42" s="54" t="str">
        <x:v>Favor Electronics / Favor Union</x:v>
      </x:c>
      <x:c r="J42" s="54" t="str">
        <x:v>FJH10K-S3D</x:v>
      </x:c>
      <x:c r="K42" s="54" t="str">
        <x:v>DigiKey 4434-FJH10K-S3D-ND</x:v>
      </x:c>
      <x:c r="L42" s="54" t="str">
        <x:v>PS5-style dual-axis Hall joystick with push switch</x:v>
      </x:c>
      <x:c r="M42" s="54" t="str">
        <x:v>D</x:v>
      </x:c>
      <x:c r="N42" s="54" t="str">
        <x:v>VERIFY</x:v>
      </x:c>
      <x:c r="O42" s="54" t="str">
        <x:v>NO</x:v>
      </x:c>
      <x:c r="P42" s="54" t="str">
        <x:v>REVIEW</x:v>
      </x:c>
      <x:c r="Q42" s="54" t="str">
        <x:v>298 DigiKey Marketplace snapshot</x:v>
      </x:c>
      <x:c r="R42" s="54" t="str">
        <x:v>https://www.digikey.com/en/products/detail/favor-electronics/FJH10K-S3D/25879529</x:v>
      </x:c>
      <x:c r="S42" s="54" t="str">
        <x:v>Mechanically same family, but S2/S3D Hall-sensor VDD/GND pin order is reversed. Requires electrical re-pin/routing validation.</x:v>
      </x:c>
    </x:row>
    <x:row r="43">
      <x:c r="A43" s="54" t="n">
        <x:v>38</x:v>
      </x:c>
      <x:c r="B43" s="54" t="n">
        <x:v>1</x:v>
      </x:c>
      <x:c r="C43" s="54" t="str">
        <x:v>U3</x:v>
      </x:c>
      <x:c r="D43" s="54" t="str">
        <x:v>16-bit I2C GPIO expander</x:v>
      </x:c>
      <x:c r="E43" s="54" t="str">
        <x:v>Microchip</x:v>
      </x:c>
      <x:c r="F43" s="54" t="str">
        <x:v>MCP23017-E/SO</x:v>
      </x:c>
      <x:c r="G43" s="54" t="str">
        <x:v>579-MCP23017-E/SO</x:v>
      </x:c>
      <x:c r="H43" s="54" t="str">
        <x:v>IN STOCK</x:v>
      </x:c>
      <x:c r="I43" s="54" t="str">
        <x:v>Microchip Technology</x:v>
      </x:c>
      <x:c r="J43" s="54" t="str">
        <x:v>MCP23017T-E/SO</x:v>
      </x:c>
      <x:c r="K43" s="54" t="str"/>
      <x:c r="L43" s="54" t="str">
        <x:v>MCP23017, SOIC-28W, tape/reel</x:v>
      </x:c>
      <x:c r="M43" s="54" t="str">
        <x:v>A</x:v>
      </x:c>
      <x:c r="N43" s="54" t="str">
        <x:v>NO</x:v>
      </x:c>
      <x:c r="O43" s="54" t="str">
        <x:v>NO</x:v>
      </x:c>
      <x:c r="P43" s="54" t="str">
        <x:v>READY</x:v>
      </x:c>
      <x:c r="Q43" s="54" t="str">
        <x:v>Listing verified; recheck before PO</x:v>
      </x:c>
      <x:c r="R43" s="54" t="str">
        <x:v>https://www.mouser.com/c/?q=MCP23017T-E%2FSO</x:v>
      </x:c>
      <x:c r="S43" s="54" t="str">
        <x:v>Same device/package/pinout; packaging-only alternate.</x:v>
      </x:c>
    </x:row>
    <x:row r="44">
      <x:c r="A44" s="54" t="n">
        <x:v>39</x:v>
      </x:c>
      <x:c r="B44" s="54" t="n">
        <x:v>1</x:v>
      </x:c>
      <x:c r="C44" s="54" t="str">
        <x:v>U4</x:v>
      </x:c>
      <x:c r="D44" s="54" t="str">
        <x:v>8-channel 12-bit I2C ADC</x:v>
      </x:c>
      <x:c r="E44" s="54" t="str">
        <x:v>Texas Instruments</x:v>
      </x:c>
      <x:c r="F44" s="54" t="str">
        <x:v>ADS7828E/2K5</x:v>
      </x:c>
      <x:c r="G44" s="54" t="str">
        <x:v>595-ADS7828E/2K5</x:v>
      </x:c>
      <x:c r="H44" s="54" t="str">
        <x:v>IN STOCK</x:v>
      </x:c>
      <x:c r="I44" s="54" t="str">
        <x:v>Texas Instruments</x:v>
      </x:c>
      <x:c r="J44" s="54" t="str">
        <x:v>ADS7828E/250</x:v>
      </x:c>
      <x:c r="K44" s="54" t="str"/>
      <x:c r="L44" s="54" t="str">
        <x:v>ADS7828, TSSOP-16, alternate reel quantity</x:v>
      </x:c>
      <x:c r="M44" s="54" t="str">
        <x:v>A</x:v>
      </x:c>
      <x:c r="N44" s="54" t="str">
        <x:v>NO</x:v>
      </x:c>
      <x:c r="O44" s="54" t="str">
        <x:v>NO</x:v>
      </x:c>
      <x:c r="P44" s="54" t="str">
        <x:v>READY</x:v>
      </x:c>
      <x:c r="Q44" s="54" t="str">
        <x:v>In stock listing</x:v>
      </x:c>
      <x:c r="R44" s="54" t="str">
        <x:v>https://www.mouser.com/c/?q=ADS7828E%2F250</x:v>
      </x:c>
      <x:c r="S44" s="54" t="str">
        <x:v>Same ADC/device/package/pinout; packaging-quantity alternate.</x:v>
      </x:c>
    </x:row>
    <x:row r="45">
      <x:c r="A45" s="54" t="n">
        <x:v>40</x:v>
      </x:c>
      <x:c r="B45" s="54" t="n">
        <x:v>2</x:v>
      </x:c>
      <x:c r="C45" s="54" t="str">
        <x:v>LS1 LS3 speakers</x:v>
      </x:c>
      <x:c r="D45" s="54" t="str">
        <x:v>20 mm 8 ohm 1 W wired speaker</x:v>
      </x:c>
      <x:c r="E45" s="54" t="str">
        <x:v>PUI Audio</x:v>
      </x:c>
      <x:c r="F45" s="54" t="str">
        <x:v>AS02008MR-2-LWC30</x:v>
      </x:c>
      <x:c r="G45" s="54" t="str">
        <x:v>665-AS02008MR-2LWC30</x:v>
      </x:c>
      <x:c r="H45" s="54" t="str">
        <x:v>LOW STOCK</x:v>
      </x:c>
      <x:c r="I45" s="54" t="str">
        <x:v>Same Sky</x:v>
      </x:c>
      <x:c r="J45" s="54" t="str">
        <x:v>CES-24205-18-L200</x:v>
      </x:c>
      <x:c r="K45" s="54" t="str">
        <x:v>179-CES-24205-18L200</x:v>
      </x:c>
      <x:c r="L45" s="54" t="str">
        <x:v>8 ohm, 1 W, wire-lead speaker, 24 x 20 mm</x:v>
      </x:c>
      <x:c r="M45" s="54" t="str">
        <x:v>C</x:v>
      </x:c>
      <x:c r="N45" s="54" t="str">
        <x:v>NO</x:v>
      </x:c>
      <x:c r="O45" s="54" t="str">
        <x:v>YES</x:v>
      </x:c>
      <x:c r="P45" s="54" t="str">
        <x:v>REVIEW</x:v>
      </x:c>
      <x:c r="Q45" s="54" t="str">
        <x:v>New-product listing; recheck before PO</x:v>
      </x:c>
      <x:c r="R45" s="54" t="str">
        <x:v>https://www.mouser.com/c/?q=CES-24205-18-L200</x:v>
      </x:c>
      <x:c r="S45" s="54" t="str">
        <x:v>Electrical power/impedance match for L/R channels, but enclosure geometry and lead termination differ.</x:v>
      </x:c>
    </x:row>
    <x:row r="46">
      <x:c r="A46" s="54" t="n">
        <x:v>41</x:v>
      </x:c>
      <x:c r="B46" s="54" t="n">
        <x:v>1</x:v>
      </x:c>
      <x:c r="C46" s="54" t="str">
        <x:v>LS2 speaker</x:v>
      </x:c>
      <x:c r="D46" s="54" t="str">
        <x:v>32 mm 8 ohm 3 W center speaker</x:v>
      </x:c>
      <x:c r="E46" s="54" t="str">
        <x:v>PUI Audio</x:v>
      </x:c>
      <x:c r="F46" s="54" t="str">
        <x:v>AS03208AS-HT</x:v>
      </x:c>
      <x:c r="G46" s="54" t="str">
        <x:v>665-AS03208AS-HT</x:v>
      </x:c>
      <x:c r="H46" s="54" t="str">
        <x:v>LOW STOCK</x:v>
      </x:c>
      <x:c r="I46" s="54" t="str">
        <x:v>PUI Audio</x:v>
      </x:c>
      <x:c r="J46" s="54" t="str">
        <x:v>AS03208MS-3-R</x:v>
      </x:c>
      <x:c r="K46" s="54" t="str">
        <x:v>665-AS03208MS-3-R</x:v>
      </x:c>
      <x:c r="L46" s="54" t="str">
        <x:v>8 ohm, 3 W, ~31 mm frame speaker</x:v>
      </x:c>
      <x:c r="M46" s="54" t="str">
        <x:v>C</x:v>
      </x:c>
      <x:c r="N46" s="54" t="str">
        <x:v>NO</x:v>
      </x:c>
      <x:c r="O46" s="54" t="str">
        <x:v>YES</x:v>
      </x:c>
      <x:c r="P46" s="54" t="str">
        <x:v>REVIEW</x:v>
      </x:c>
      <x:c r="Q46" s="54" t="str">
        <x:v>1,113 snapshot</x:v>
      </x:c>
      <x:c r="R46" s="54" t="str">
        <x:v>https://www.mouser.com/c/?q=AS03208MS-3-R</x:v>
      </x:c>
      <x:c r="S46" s="54" t="str">
        <x:v>Near mechanical/electrical replacement for center speaker; verify depth, mounting and termination.</x:v>
      </x:c>
    </x:row>
    <x:row r="47">
      <x:c r="A47" s="54" t="n">
        <x:v>42</x:v>
      </x:c>
      <x:c r="B47" s="54" t="n">
        <x:v>1</x:v>
      </x:c>
      <x:c r="C47" s="54" t="str">
        <x:v>TH1 thermistor</x:v>
      </x:c>
      <x:c r="D47" s="54" t="str">
        <x:v>10 kohm NTC thermistor</x:v>
      </x:c>
      <x:c r="E47" s="54" t="str">
        <x:v>Vishay</x:v>
      </x:c>
      <x:c r="F47" s="54" t="str">
        <x:v>NTCLE201E3103SBA</x:v>
      </x:c>
      <x:c r="G47" s="54" t="str">
        <x:v>594-NTCLE201E3103SBA</x:v>
      </x:c>
      <x:c r="H47" s="54" t="str">
        <x:v>IN STOCK</x:v>
      </x:c>
      <x:c r="I47" s="54" t="str">
        <x:v>Vishay / BCcomponents</x:v>
      </x:c>
      <x:c r="J47" s="54" t="str">
        <x:v>NTCLE100E3103GB0</x:v>
      </x:c>
      <x:c r="K47" s="54" t="str">
        <x:v>594-2381-640-64103</x:v>
      </x:c>
      <x:c r="L47" s="54" t="str">
        <x:v>10 kohm NTC, B25/85 ~3977 K, radial 2.54 mm</x:v>
      </x:c>
      <x:c r="M47" s="54" t="str">
        <x:v>C</x:v>
      </x:c>
      <x:c r="N47" s="54" t="str">
        <x:v>NO</x:v>
      </x:c>
      <x:c r="O47" s="54" t="str">
        <x:v>YES</x:v>
      </x:c>
      <x:c r="P47" s="54" t="str">
        <x:v>REVIEW</x:v>
      </x:c>
      <x:c r="Q47" s="54" t="str">
        <x:v>2,962 snapshot</x:v>
      </x:c>
      <x:c r="R47" s="54" t="str">
        <x:v>https://www.mouser.com/c/?q=NTCLE100E3103GB0</x:v>
      </x:c>
      <x:c r="S47" s="54" t="str">
        <x:v>Electrical characteristic is close, but this is radial leaded rather than a wired probe. Add wiring/insulation and validate charge-temperature thresholds.</x:v>
      </x:c>
    </x:row>
    <x:row r="48">
      <x:c r="A48" s="54" t="n">
        <x:v>43</x:v>
      </x:c>
      <x:c r="B48" s="54" t="n">
        <x:v>1</x:v>
      </x:c>
      <x:c r="C48" s="54" t="str">
        <x:v>J2</x:v>
      </x:c>
      <x:c r="D48" s="54" t="str">
        <x:v>USB-C receptacle</x:v>
      </x:c>
      <x:c r="E48" s="54" t="str"/>
      <x:c r="F48" s="54" t="str"/>
      <x:c r="G48" s="54" t="str"/>
      <x:c r="H48" s="54" t="str">
        <x:v>NOT FOUND / NOT SPECIFIED</x:v>
      </x:c>
      <x:c r="I48" s="54" t="str">
        <x:v>GCT</x:v>
      </x:c>
      <x:c r="J48" s="54" t="str">
        <x:v>USB4105-GF-A-120</x:v>
      </x:c>
      <x:c r="K48" s="54" t="str">
        <x:v>640-USB4105-GF-A-120</x:v>
      </x:c>
      <x:c r="L48" s="54" t="str">
        <x:v>USB Type-C 2.0 receptacle, 16 contacts, SMT signal pins + THT shell stakes</x:v>
      </x:c>
      <x:c r="M48" s="54" t="str">
        <x:v>D</x:v>
      </x:c>
      <x:c r="N48" s="54" t="str">
        <x:v>YES</x:v>
      </x:c>
      <x:c r="O48" s="54" t="str">
        <x:v>YES</x:v>
      </x:c>
      <x:c r="P48" s="54" t="str">
        <x:v>REVIEW</x:v>
      </x:c>
      <x:c r="Q48" s="54" t="str">
        <x:v>90,196 snapshot</x:v>
      </x:c>
      <x:c r="R48" s="54" t="str">
        <x:v>https://www.mouser.com/c/?q=USB4105-GF-A-120</x:v>
      </x:c>
      <x:c r="S48" s="54" t="str">
        <x:v>Concrete connector candidate to freeze J2. Current HCTL footprint is deferred/unresolved; create and validate a new GCT footprint.</x:v>
      </x:c>
    </x:row>
  </x:sheetData>
  <x:mergeCells>
    <x:mergeCell ref="A1:S1"/>
    <x:mergeCell ref="A2:S2"/>
    <x:mergeCell ref="A3:S3"/>
  </x:mergeCells>
  <x:conditionalFormatting sqref="M5:M48">
    <x:cfRule type="expression" dxfId="0" priority="1">
      <x:formula>M5="A"</x:formula>
    </x:cfRule>
    <x:cfRule type="expression" dxfId="1" priority="2">
      <x:formula>M5="B"</x:formula>
    </x:cfRule>
    <x:cfRule type="expression" dxfId="2" priority="3">
      <x:formula>M5="C"</x:formula>
    </x:cfRule>
    <x:cfRule type="expression" dxfId="3" priority="4">
      <x:formula>M5="D"</x:formula>
    </x:cfRule>
  </x:conditionalFormatting>
  <x:conditionalFormatting sqref="P5:P48">
    <x:cfRule type="expression" dxfId="4" priority="5">
      <x:formula>P5="READY"</x:formula>
    </x:cfRule>
    <x:cfRule type="expression" dxfId="5" priority="6">
      <x:formula>P5="REVIEW"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f6d89a0a5a40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10" hidden="0" customWidth="1"/>
    <x:col min="4" max="4" width="29" hidden="0" customWidth="1"/>
    <x:col min="5" max="5" width="16" hidden="0" customWidth="1"/>
    <x:col min="6" max="6" width="14" hidden="0" customWidth="1"/>
    <x:col min="7" max="7" width="58" hidden="0" customWidth="1"/>
  </x:cols>
  <x:sheetData>
    <x:row r="1" ht="27" customHeight="1">
      <x:c r="A1" s="36" t="str">
        <x:v>Mouser-Friendly Alternate BOM</x:v>
      </x:c>
      <x:c r="B1" s="36"/>
      <x:c r="C1" s="36"/>
      <x:c r="D1" s="36"/>
      <x:c r="E1" s="36"/>
      <x:c r="F1" s="36"/>
      <x:c r="G1" s="36"/>
    </x:row>
    <x:row r="2" ht="34" customHeight="1">
      <x:c r="A2" s="57" t="str">
        <x:v>All 44 alternates are included for completeness. Filter Order Status = READY for direct purchasing substitutes; REVIEW rows remain visible so every design line retains a documented fallback.</x:v>
      </x:c>
      <x:c r="B2" s="57"/>
      <x:c r="C2" s="57"/>
      <x:c r="D2" s="57"/>
      <x:c r="E2" s="57"/>
      <x:c r="F2" s="57"/>
      <x:c r="G2" s="57"/>
    </x:row>
    <x:row r="4" ht="32" customHeight="1">
      <x:c r="A4" s="22" t="str">
        <x:v>Manufacturer Part Number</x:v>
      </x:c>
      <x:c r="B4" s="22" t="str">
        <x:v>Manufacturer</x:v>
      </x:c>
      <x:c r="C4" s="22" t="str">
        <x:v>Quantity</x:v>
      </x:c>
      <x:c r="D4" s="22" t="str">
        <x:v>Customer Part Number / References</x:v>
      </x:c>
      <x:c r="E4" s="22" t="str">
        <x:v>Compatibility Class</x:v>
      </x:c>
      <x:c r="F4" s="22" t="str">
        <x:v>Order Status</x:v>
      </x:c>
      <x:c r="G4" s="22" t="str">
        <x:v>Engineering Note</x:v>
      </x:c>
    </x:row>
    <x:row r="5">
      <x:c r="A5" s="23" t="str">
        <x:v>C2012C0G2A222J085AA</x:v>
      </x:c>
      <x:c r="B5" s="23" t="str">
        <x:v>TDK</x:v>
      </x:c>
      <x:c r="C5" s="23" t="n">
        <x:v>2</x:v>
      </x:c>
      <x:c r="D5" s="23" t="str">
        <x:v>C18 C19</x:v>
      </x:c>
      <x:c r="E5" s="23" t="str">
        <x:v>A</x:v>
      </x:c>
      <x:c r="F5" s="23" t="str">
        <x:v>READY</x:v>
      </x:c>
      <x:c r="G5" s="23" t="str">
        <x:v>Direct electrical/footprint substitute; voltage rating improves from 50 V to 100 V.</x:v>
      </x:c>
    </x:row>
    <x:row r="6">
      <x:c r="A6" s="23" t="str">
        <x:v>C2012X7R1C225K125AB</x:v>
      </x:c>
      <x:c r="B6" s="23" t="str">
        <x:v>TDK</x:v>
      </x:c>
      <x:c r="C6" s="23" t="n">
        <x:v>2</x:v>
      </x:c>
      <x:c r="D6" s="23" t="str">
        <x:v>C22 C28</x:v>
      </x:c>
      <x:c r="E6" s="23" t="str">
        <x:v>A</x:v>
      </x:c>
      <x:c r="F6" s="23" t="str">
        <x:v>READY</x:v>
      </x:c>
      <x:c r="G6" s="23" t="str">
        <x:v>Same capacitance, voltage, dielectric, tolerance and 0805 case.</x:v>
      </x:c>
    </x:row>
    <x:row r="7">
      <x:c r="A7" s="23" t="str">
        <x:v>CC0805KRX7R9BB333</x:v>
      </x:c>
      <x:c r="B7" s="23" t="str">
        <x:v>YAGEO</x:v>
      </x:c>
      <x:c r="C7" s="23" t="n">
        <x:v>1</x:v>
      </x:c>
      <x:c r="D7" s="23" t="str">
        <x:v>C23</x:v>
      </x:c>
      <x:c r="E7" s="23" t="str">
        <x:v>A</x:v>
      </x:c>
      <x:c r="F7" s="23" t="str">
        <x:v>READY</x:v>
      </x:c>
      <x:c r="G7" s="23" t="str">
        <x:v>Second-source 0805 X7R part; same key electrical ratings.</x:v>
      </x:c>
    </x:row>
    <x:row r="8">
      <x:c r="A8" s="23" t="str">
        <x:v>C0805C224K5RACTU</x:v>
      </x:c>
      <x:c r="B8" s="23" t="str">
        <x:v>KEMET</x:v>
      </x:c>
      <x:c r="C8" s="23" t="n">
        <x:v>2</x:v>
      </x:c>
      <x:c r="D8" s="23" t="str">
        <x:v>C31 C59</x:v>
      </x:c>
      <x:c r="E8" s="23" t="str">
        <x:v>A</x:v>
      </x:c>
      <x:c r="F8" s="23" t="str">
        <x:v>READY</x:v>
      </x:c>
      <x:c r="G8" s="23" t="str">
        <x:v>Direct 0805 X7R substitute.</x:v>
      </x:c>
    </x:row>
    <x:row r="9">
      <x:c r="A9" s="23" t="str">
        <x:v>GRM21BR71H474KA88L</x:v>
      </x:c>
      <x:c r="B9" s="23" t="str">
        <x:v>Murata Electronics</x:v>
      </x:c>
      <x:c r="C9" s="23" t="n">
        <x:v>2</x:v>
      </x:c>
      <x:c r="D9" s="23" t="str">
        <x:v>C32 C72</x:v>
      </x:c>
      <x:c r="E9" s="23" t="str">
        <x:v>A</x:v>
      </x:c>
      <x:c r="F9" s="23" t="str">
        <x:v>READY</x:v>
      </x:c>
      <x:c r="G9" s="23" t="str">
        <x:v>Same capacitance, voltage, dielectric, tolerance and package.</x:v>
      </x:c>
    </x:row>
    <x:row r="10">
      <x:c r="A10" s="23" t="str">
        <x:v>C0805C105K4RACTU</x:v>
      </x:c>
      <x:c r="B10" s="23" t="str">
        <x:v>KEMET</x:v>
      </x:c>
      <x:c r="C10" s="23" t="n">
        <x:v>5</x:v>
      </x:c>
      <x:c r="D10" s="23" t="str">
        <x:v>C9 C34 C37 C39 C73</x:v>
      </x:c>
      <x:c r="E10" s="23" t="str">
        <x:v>A</x:v>
      </x:c>
      <x:c r="F10" s="23" t="str">
        <x:v>READY</x:v>
      </x:c>
      <x:c r="G10" s="23" t="str">
        <x:v>Direct 0805 X7R substitute.</x:v>
      </x:c>
    </x:row>
    <x:row r="11">
      <x:c r="A11" s="23" t="str">
        <x:v>GXT31CR6YA106KE01L</x:v>
      </x:c>
      <x:c r="B11" s="23" t="str">
        <x:v>Murata Electronics</x:v>
      </x:c>
      <x:c r="C11" s="23" t="n">
        <x:v>13</x:v>
      </x:c>
      <x:c r="D11" s="23" t="str">
        <x:v>C4 C13 C15 C17 C26 C27 C29 C35 C38 C41 C45 C47 C49</x:v>
      </x:c>
      <x:c r="E11" s="23" t="str">
        <x:v>A</x:v>
      </x:c>
      <x:c r="F11" s="23" t="str">
        <x:v>READY</x:v>
      </x:c>
      <x:c r="G11" s="23" t="str">
        <x:v>Same value/tolerance/X5R/1206; voltage rating improves from 10 V to 35 V.</x:v>
      </x:c>
    </x:row>
    <x:row r="12">
      <x:c r="A12" s="23" t="str">
        <x:v>CC0805KRX7R9BB104</x:v>
      </x:c>
      <x:c r="B12" s="23" t="str">
        <x:v>YAGEO</x:v>
      </x:c>
      <x:c r="C12" s="23" t="n">
        <x:v>16</x:v>
      </x:c>
      <x:c r="D12" s="23" t="str">
        <x:v>C5 C7 C8 C10 C11 C12 C14 C16 C33 C36 C40 C44 C46 C48 C50 C51</x:v>
      </x:c>
      <x:c r="E12" s="23" t="str">
        <x:v>A</x:v>
      </x:c>
      <x:c r="F12" s="23" t="str">
        <x:v>READY</x:v>
      </x:c>
      <x:c r="G12" s="23" t="str">
        <x:v>Second-source 0805 X7R decoupling capacitor.</x:v>
      </x:c>
    </x:row>
    <x:row r="13">
      <x:c r="A13" s="23" t="str">
        <x:v>53398-0271</x:v>
      </x:c>
      <x:c r="B13" s="23" t="str">
        <x:v>Molex</x:v>
      </x:c>
      <x:c r="C13" s="23" t="n">
        <x:v>2</x:v>
      </x:c>
      <x:c r="D13" s="23" t="str">
        <x:v>LS1 LS3 board headers</x:v>
      </x:c>
      <x:c r="E13" s="23" t="str">
        <x:v>C</x:v>
      </x:c>
      <x:c r="F13" s="23" t="str">
        <x:v>REVIEW</x:v>
      </x:c>
      <x:c r="G13" s="23" t="str">
        <x:v>Same PicoBlade mating family, but SMT rather than the primary through-hole 53047 footprint. PCB footprint change required.</x:v>
      </x:c>
    </x:row>
    <x:row r="14">
      <x:c r="A14" s="23" t="str">
        <x:v>CRCW0603470RFKEA</x:v>
      </x:c>
      <x:c r="B14" s="23" t="str">
        <x:v>Vishay</x:v>
      </x:c>
      <x:c r="C14" s="23" t="n">
        <x:v>2</x:v>
      </x:c>
      <x:c r="D14" s="23" t="str">
        <x:v>R18 R19</x:v>
      </x:c>
      <x:c r="E14" s="23" t="str">
        <x:v>A</x:v>
      </x:c>
      <x:c r="F14" s="23" t="str">
        <x:v>READY</x:v>
      </x:c>
      <x:c r="G14" s="23" t="str">
        <x:v>Same resistance/tolerance/package; power rating improves from 0.1 W to 0.125 W.</x:v>
      </x:c>
    </x:row>
    <x:row r="15">
      <x:c r="A15" s="23" t="str">
        <x:v>CRCW060333K0FKEA</x:v>
      </x:c>
      <x:c r="B15" s="23" t="str">
        <x:v>Vishay</x:v>
      </x:c>
      <x:c r="C15" s="23" t="n">
        <x:v>1</x:v>
      </x:c>
      <x:c r="D15" s="23" t="str">
        <x:v>R20</x:v>
      </x:c>
      <x:c r="E15" s="23" t="str">
        <x:v>A</x:v>
      </x:c>
      <x:c r="F15" s="23" t="str">
        <x:v>READY</x:v>
      </x:c>
      <x:c r="G15" s="23" t="str">
        <x:v>Direct resistor substitute.</x:v>
      </x:c>
    </x:row>
    <x:row r="16">
      <x:c r="A16" s="23" t="str">
        <x:v>CRCW060327K0FKEA</x:v>
      </x:c>
      <x:c r="B16" s="23" t="str">
        <x:v>Vishay</x:v>
      </x:c>
      <x:c r="C16" s="23" t="n">
        <x:v>2</x:v>
      </x:c>
      <x:c r="D16" s="23" t="str">
        <x:v>R22 R29</x:v>
      </x:c>
      <x:c r="E16" s="23" t="str">
        <x:v>A</x:v>
      </x:c>
      <x:c r="F16" s="23" t="str">
        <x:v>READY</x:v>
      </x:c>
      <x:c r="G16" s="23" t="str">
        <x:v>Direct resistor substitute.</x:v>
      </x:c>
    </x:row>
    <x:row r="17">
      <x:c r="A17" s="23" t="str">
        <x:v>CRCW06032K00FKEA</x:v>
      </x:c>
      <x:c r="B17" s="23" t="str">
        <x:v>Vishay</x:v>
      </x:c>
      <x:c r="C17" s="23" t="n">
        <x:v>2</x:v>
      </x:c>
      <x:c r="D17" s="23" t="str">
        <x:v>R23 R28</x:v>
      </x:c>
      <x:c r="E17" s="23" t="str">
        <x:v>A</x:v>
      </x:c>
      <x:c r="F17" s="23" t="str">
        <x:v>READY</x:v>
      </x:c>
      <x:c r="G17" s="23" t="str">
        <x:v>Direct resistor substitute.</x:v>
      </x:c>
    </x:row>
    <x:row r="18">
      <x:c r="A18" s="23" t="str">
        <x:v>CRCW0603100KFKEA</x:v>
      </x:c>
      <x:c r="B18" s="23" t="str">
        <x:v>Vishay</x:v>
      </x:c>
      <x:c r="C18" s="23" t="n">
        <x:v>3</x:v>
      </x:c>
      <x:c r="D18" s="23" t="str">
        <x:v>R5 R24 R31</x:v>
      </x:c>
      <x:c r="E18" s="23" t="str">
        <x:v>A</x:v>
      </x:c>
      <x:c r="F18" s="23" t="str">
        <x:v>READY</x:v>
      </x:c>
      <x:c r="G18" s="23" t="str">
        <x:v>Direct resistor substitute.</x:v>
      </x:c>
    </x:row>
    <x:row r="19">
      <x:c r="A19" s="23" t="str">
        <x:v>CRCW060310K0FKEA</x:v>
      </x:c>
      <x:c r="B19" s="23" t="str">
        <x:v>Vishay</x:v>
      </x:c>
      <x:c r="C19" s="23" t="n">
        <x:v>6</x:v>
      </x:c>
      <x:c r="D19" s="23" t="str">
        <x:v>R11 R16 R17 R25 R26 R27</x:v>
      </x:c>
      <x:c r="E19" s="23" t="str">
        <x:v>A</x:v>
      </x:c>
      <x:c r="F19" s="23" t="str">
        <x:v>READY</x:v>
      </x:c>
      <x:c r="G19" s="23" t="str">
        <x:v>Direct resistor substitute.</x:v>
      </x:c>
    </x:row>
    <x:row r="20">
      <x:c r="A20" s="23" t="str">
        <x:v>CRCW06034K70FKEA</x:v>
      </x:c>
      <x:c r="B20" s="23" t="str">
        <x:v>Vishay</x:v>
      </x:c>
      <x:c r="C20" s="23" t="n">
        <x:v>3</x:v>
      </x:c>
      <x:c r="D20" s="23" t="str">
        <x:v>R21 R30 R45</x:v>
      </x:c>
      <x:c r="E20" s="23" t="str">
        <x:v>A</x:v>
      </x:c>
      <x:c r="F20" s="23" t="str">
        <x:v>READY</x:v>
      </x:c>
      <x:c r="G20" s="23" t="str">
        <x:v>Direct resistor substitute.</x:v>
      </x:c>
    </x:row>
    <x:row r="21">
      <x:c r="A21" s="23" t="str">
        <x:v>CRCW06035K10FKEA</x:v>
      </x:c>
      <x:c r="B21" s="23" t="str">
        <x:v>Vishay</x:v>
      </x:c>
      <x:c r="C21" s="23" t="n">
        <x:v>2</x:v>
      </x:c>
      <x:c r="D21" s="23" t="str">
        <x:v>R3 R4</x:v>
      </x:c>
      <x:c r="E21" s="23" t="str">
        <x:v>A</x:v>
      </x:c>
      <x:c r="F21" s="23" t="str">
        <x:v>READY</x:v>
      </x:c>
      <x:c r="G21" s="23" t="str">
        <x:v>Direct resistor substitute.</x:v>
      </x:c>
    </x:row>
    <x:row r="22">
      <x:c r="A22" s="23" t="str">
        <x:v>CRCW06033K32FKEA</x:v>
      </x:c>
      <x:c r="B22" s="23" t="str">
        <x:v>Vishay</x:v>
      </x:c>
      <x:c r="C22" s="23" t="n">
        <x:v>1</x:v>
      </x:c>
      <x:c r="D22" s="23" t="str">
        <x:v>R9</x:v>
      </x:c>
      <x:c r="E22" s="23" t="str">
        <x:v>A</x:v>
      </x:c>
      <x:c r="F22" s="23" t="str">
        <x:v>READY</x:v>
      </x:c>
      <x:c r="G22" s="23" t="str">
        <x:v>Direct resistor substitute.</x:v>
      </x:c>
    </x:row>
    <x:row r="23">
      <x:c r="A23" s="23" t="str">
        <x:v>CRCW060368K0FKEA</x:v>
      </x:c>
      <x:c r="B23" s="23" t="str">
        <x:v>Vishay</x:v>
      </x:c>
      <x:c r="C23" s="23" t="n">
        <x:v>1</x:v>
      </x:c>
      <x:c r="D23" s="23" t="str">
        <x:v>R32</x:v>
      </x:c>
      <x:c r="E23" s="23" t="str">
        <x:v>A</x:v>
      </x:c>
      <x:c r="F23" s="23" t="str">
        <x:v>READY</x:v>
      </x:c>
      <x:c r="G23" s="23" t="str">
        <x:v>Direct resistor substitute.</x:v>
      </x:c>
    </x:row>
    <x:row r="24">
      <x:c r="A24" s="23" t="str">
        <x:v>CRCW060382K0FKEA</x:v>
      </x:c>
      <x:c r="B24" s="23" t="str">
        <x:v>Vishay</x:v>
      </x:c>
      <x:c r="C24" s="23" t="n">
        <x:v>1</x:v>
      </x:c>
      <x:c r="D24" s="23" t="str">
        <x:v>R33</x:v>
      </x:c>
      <x:c r="E24" s="23" t="str">
        <x:v>A</x:v>
      </x:c>
      <x:c r="F24" s="23" t="str">
        <x:v>READY</x:v>
      </x:c>
      <x:c r="G24" s="23" t="str">
        <x:v>Direct resistor substitute.</x:v>
      </x:c>
    </x:row>
    <x:row r="25">
      <x:c r="A25" s="23" t="str">
        <x:v>CRCW06031K00FKEA</x:v>
      </x:c>
      <x:c r="B25" s="23" t="str">
        <x:v>Vishay</x:v>
      </x:c>
      <x:c r="C25" s="23" t="n">
        <x:v>7</x:v>
      </x:c>
      <x:c r="D25" s="23" t="str">
        <x:v>R6 R7 R8 R12 R13 R14 R15</x:v>
      </x:c>
      <x:c r="E25" s="23" t="str">
        <x:v>A</x:v>
      </x:c>
      <x:c r="F25" s="23" t="str">
        <x:v>READY</x:v>
      </x:c>
      <x:c r="G25" s="23" t="str">
        <x:v>Direct resistor substitute.</x:v>
      </x:c>
    </x:row>
    <x:row r="26">
      <x:c r="A26" s="23" t="str">
        <x:v>PTV09A-2015U-B103</x:v>
      </x:c>
      <x:c r="B26" s="23" t="str">
        <x:v>Bourns</x:v>
      </x:c>
      <x:c r="C26" s="23" t="n">
        <x:v>1</x:v>
      </x:c>
      <x:c r="D26" s="23" t="str">
        <x:v>RV1</x:v>
      </x:c>
      <x:c r="E26" s="23" t="str">
        <x:v>B</x:v>
      </x:c>
      <x:c r="F26" s="23" t="str">
        <x:v>READY</x:v>
      </x:c>
      <x:c r="G26" s="23" t="str">
        <x:v>Same electrical family and PCB mounting; U-shaft differs from the primary F-shaft. Verify knob/shaft mechanical fit.</x:v>
      </x:c>
    </x:row>
    <x:row r="27">
      <x:c r="A27" s="23" t="str">
        <x:v>PCM5102APW</x:v>
      </x:c>
      <x:c r="B27" s="23" t="str">
        <x:v>Texas Instruments</x:v>
      </x:c>
      <x:c r="C27" s="23" t="n">
        <x:v>1</x:v>
      </x:c>
      <x:c r="D27" s="23" t="str">
        <x:v>U5</x:v>
      </x:c>
      <x:c r="E27" s="23" t="str">
        <x:v>A</x:v>
      </x:c>
      <x:c r="F27" s="23" t="str">
        <x:v>READY</x:v>
      </x:c>
      <x:c r="G27" s="23" t="str">
        <x:v>Same silicon/package/pinout; packaging-only alternate to PCM5102APWR.</x:v>
      </x:c>
    </x:row>
    <x:row r="28">
      <x:c r="A28" s="23" t="str">
        <x:v>PAM8302AASCR</x:v>
      </x:c>
      <x:c r="B28" s="23" t="str">
        <x:v>Diodes Incorporated</x:v>
      </x:c>
      <x:c r="C28" s="23" t="n">
        <x:v>1</x:v>
      </x:c>
      <x:c r="D28" s="23" t="str">
        <x:v>U6</x:v>
      </x:c>
      <x:c r="E28" s="23" t="str">
        <x:v>D</x:v>
      </x:c>
      <x:c r="F28" s="23" t="str">
        <x:v>REVIEW</x:v>
      </x:c>
      <x:c r="G28" s="23" t="str">
        <x:v>Same PAM8302A function/silicon family, but S-package is MSOP-8 instead of the primary SO-8. New footprint required.</x:v>
      </x:c>
    </x:row>
    <x:row r="29">
      <x:c r="A29" s="23" t="str">
        <x:v>TPA2008D2PWPR</x:v>
      </x:c>
      <x:c r="B29" s="23" t="str">
        <x:v>Texas Instruments</x:v>
      </x:c>
      <x:c r="C29" s="23" t="n">
        <x:v>1</x:v>
      </x:c>
      <x:c r="D29" s="23" t="str">
        <x:v>U7</x:v>
      </x:c>
      <x:c r="E29" s="23" t="str">
        <x:v>D</x:v>
      </x:c>
      <x:c r="F29" s="23" t="str">
        <x:v>REVIEW</x:v>
      </x:c>
      <x:c r="G29" s="23" t="str">
        <x:v>Active stereo Class-D replacement candidate, not pin-compatible. Requires schematic/PCB redesign and confirmed regulated 5 V rail; does not reproduce PAM8406 Class-AB mode.</x:v>
      </x:c>
    </x:row>
    <x:row r="30">
      <x:c r="A30" s="23" t="str">
        <x:v>BLM18SP601SN1D</x:v>
      </x:c>
      <x:c r="B30" s="23" t="str">
        <x:v>Murata Electronics</x:v>
      </x:c>
      <x:c r="C30" s="23" t="n">
        <x:v>2</x:v>
      </x:c>
      <x:c r="D30" s="23" t="str">
        <x:v>FB1 FB4</x:v>
      </x:c>
      <x:c r="E30" s="23" t="str">
        <x:v>A</x:v>
      </x:c>
      <x:c r="F30" s="23" t="str">
        <x:v>READY</x:v>
      </x:c>
      <x:c r="G30" s="23" t="str">
        <x:v>Same 0603 class and 600-ohm impedance target; verify DC current/impedance curve against final rail current.</x:v>
      </x:c>
    </x:row>
    <x:row r="31">
      <x:c r="A31" s="23" t="str">
        <x:v>PMEG4030ER-QX</x:v>
      </x:c>
      <x:c r="B31" s="23" t="str">
        <x:v>Nexperia</x:v>
      </x:c>
      <x:c r="C31" s="23" t="n">
        <x:v>1</x:v>
      </x:c>
      <x:c r="D31" s="23" t="str">
        <x:v>D1</x:v>
      </x:c>
      <x:c r="E31" s="23" t="str">
        <x:v>A</x:v>
      </x:c>
      <x:c r="F31" s="23" t="str">
        <x:v>READY</x:v>
      </x:c>
      <x:c r="G31" s="23" t="str">
        <x:v>Same package class and key ratings; automotive-qualified variant.</x:v>
      </x:c>
    </x:row>
    <x:row r="32">
      <x:c r="A32" s="23" t="str">
        <x:v>AP1608EC</x:v>
      </x:c>
      <x:c r="B32" s="23" t="str">
        <x:v>Kingbright</x:v>
      </x:c>
      <x:c r="C32" s="23" t="n">
        <x:v>1</x:v>
      </x:c>
      <x:c r="D32" s="23" t="str">
        <x:v>D2</x:v>
      </x:c>
      <x:c r="E32" s="23" t="str">
        <x:v>B</x:v>
      </x:c>
      <x:c r="F32" s="23" t="str">
        <x:v>READY</x:v>
      </x:c>
      <x:c r="G32" s="23" t="str">
        <x:v>Same 0603 function; optical intensity/viewing characteristics differ.</x:v>
      </x:c>
    </x:row>
    <x:row r="33">
      <x:c r="A33" s="23" t="str">
        <x:v>APT1608SGC</x:v>
      </x:c>
      <x:c r="B33" s="23" t="str">
        <x:v>Kingbright</x:v>
      </x:c>
      <x:c r="C33" s="23" t="n">
        <x:v>1</x:v>
      </x:c>
      <x:c r="D33" s="23" t="str">
        <x:v>D3</x:v>
      </x:c>
      <x:c r="E33" s="23" t="str">
        <x:v>B</x:v>
      </x:c>
      <x:c r="F33" s="23" t="str">
        <x:v>READY</x:v>
      </x:c>
      <x:c r="G33" s="23" t="str">
        <x:v>Same 0603 function; optical intensity/color bin differs.</x:v>
      </x:c>
    </x:row>
    <x:row r="34">
      <x:c r="A34" s="23" t="str">
        <x:v>APT1608SECK</x:v>
      </x:c>
      <x:c r="B34" s="23" t="str">
        <x:v>Kingbright</x:v>
      </x:c>
      <x:c r="C34" s="23" t="n">
        <x:v>1</x:v>
      </x:c>
      <x:c r="D34" s="23" t="str">
        <x:v>D4</x:v>
      </x:c>
      <x:c r="E34" s="23" t="str">
        <x:v>B</x:v>
      </x:c>
      <x:c r="F34" s="23" t="str">
        <x:v>READY</x:v>
      </x:c>
      <x:c r="G34" s="23" t="str">
        <x:v>Same 0603 function; optical intensity/color bin differs.</x:v>
      </x:c>
    </x:row>
    <x:row r="35">
      <x:c r="A35" s="23" t="str">
        <x:v>BAT54CLT1G</x:v>
      </x:c>
      <x:c r="B35" s="23" t="str">
        <x:v>onsemi</x:v>
      </x:c>
      <x:c r="C35" s="23" t="n">
        <x:v>1</x:v>
      </x:c>
      <x:c r="D35" s="23" t="str">
        <x:v>D5</x:v>
      </x:c>
      <x:c r="E35" s="23" t="str">
        <x:v>A</x:v>
      </x:c>
      <x:c r="F35" s="23" t="str">
        <x:v>READY</x:v>
      </x:c>
      <x:c r="G35" s="23" t="str">
        <x:v>Direct pin/function/package substitute.</x:v>
      </x:c>
    </x:row>
    <x:row r="36">
      <x:c r="A36" s="23" t="str">
        <x:v>DMP2035UQ-7</x:v>
      </x:c>
      <x:c r="B36" s="23" t="str">
        <x:v>Diodes Incorporated</x:v>
      </x:c>
      <x:c r="C36" s="23" t="n">
        <x:v>2</x:v>
      </x:c>
      <x:c r="D36" s="23" t="str">
        <x:v>Q1 Q2</x:v>
      </x:c>
      <x:c r="E36" s="23" t="str">
        <x:v>A</x:v>
      </x:c>
      <x:c r="F36" s="23" t="str">
        <x:v>READY</x:v>
      </x:c>
      <x:c r="G36" s="23" t="str">
        <x:v>Same-family qualified variant; direct footprint/pinout substitute.</x:v>
      </x:c>
    </x:row>
    <x:row r="37">
      <x:c r="A37" s="23" t="str">
        <x:v>EG1218</x:v>
      </x:c>
      <x:c r="B37" s="23" t="str">
        <x:v>E-Switch</x:v>
      </x:c>
      <x:c r="C37" s="23" t="n">
        <x:v>1</x:v>
      </x:c>
      <x:c r="D37" s="23" t="str">
        <x:v>SW19</x:v>
      </x:c>
      <x:c r="E37" s="23" t="str">
        <x:v>C</x:v>
      </x:c>
      <x:c r="F37" s="23" t="str">
        <x:v>REVIEW</x:v>
      </x:c>
      <x:c r="G37" s="23" t="str">
        <x:v>Electrical function matches. Verify pin spacing, actuator height and case envelope against the SparkFun 11.6 x 4.0 mm custom footprint.</x:v>
      </x:c>
    </x:row>
    <x:row r="38">
      <x:c r="A38" s="23" t="str">
        <x:v>TSW-102-07-G-S</x:v>
      </x:c>
      <x:c r="B38" s="23" t="str">
        <x:v>Samtec</x:v>
      </x:c>
      <x:c r="C38" s="23" t="n">
        <x:v>1</x:v>
      </x:c>
      <x:c r="D38" s="23" t="str">
        <x:v>TH1 board header</x:v>
      </x:c>
      <x:c r="E38" s="23" t="str">
        <x:v>B</x:v>
      </x:c>
      <x:c r="F38" s="23" t="str">
        <x:v>READY</x:v>
      </x:c>
      <x:c r="G38" s="23" t="str">
        <x:v>Fits the generic 1x02 2.54 mm footprint. Verify insulator height and mating/pin length.</x:v>
      </x:c>
    </x:row>
    <x:row r="39">
      <x:c r="A39" s="23" t="str">
        <x:v>MCP73833T-FCI/UN</x:v>
      </x:c>
      <x:c r="B39" s="23" t="str">
        <x:v>Microchip Technology</x:v>
      </x:c>
      <x:c r="C39" s="23" t="n">
        <x:v>1</x:v>
      </x:c>
      <x:c r="D39" s="23" t="str">
        <x:v>U1</x:v>
      </x:c>
      <x:c r="E39" s="23" t="str">
        <x:v>A</x:v>
      </x:c>
      <x:c r="F39" s="23" t="str">
        <x:v>READY</x:v>
      </x:c>
      <x:c r="G39" s="23" t="str">
        <x:v>Same device/package/pinout; tape-and-reel packaging variant.</x:v>
      </x:c>
    </x:row>
    <x:row r="40">
      <x:c r="A40" s="23" t="str">
        <x:v>S2B-PH-K-S-GW</x:v>
      </x:c>
      <x:c r="B40" s="23" t="str">
        <x:v>JST</x:v>
      </x:c>
      <x:c r="C40" s="23" t="n">
        <x:v>1</x:v>
      </x:c>
      <x:c r="D40" s="23" t="str">
        <x:v>U2</x:v>
      </x:c>
      <x:c r="E40" s="23" t="str">
        <x:v>B</x:v>
      </x:c>
      <x:c r="F40" s="23" t="str">
        <x:v>READY</x:v>
      </x:c>
      <x:c r="G40" s="23" t="str">
        <x:v>Same JST PH geometry/mating system; GW material/spec variant. Verify body/keying/material requirement.</x:v>
      </x:c>
    </x:row>
    <x:row r="41">
      <x:c r="A41" s="23" t="str">
        <x:v>TL3301NF260QG</x:v>
      </x:c>
      <x:c r="B41" s="23" t="str">
        <x:v>E-Switch</x:v>
      </x:c>
      <x:c r="C41" s="23" t="n">
        <x:v>14</x:v>
      </x:c>
      <x:c r="D41" s="23" t="str">
        <x:v>SW2 SW3 SW4 SW5 SW6 SW7 SW8 SW9 SW10 SW11 SW12 SW13 SW14 SW15</x:v>
      </x:c>
      <x:c r="E41" s="23" t="str">
        <x:v>B</x:v>
      </x:c>
      <x:c r="F41" s="23" t="str">
        <x:v>READY</x:v>
      </x:c>
      <x:c r="G41" s="23" t="str">
        <x:v>Same TL3301 footprint/family; actuation force increases from 160 gf to 260 gf.</x:v>
      </x:c>
    </x:row>
    <x:row r="42">
      <x:c r="A42" s="23" t="str">
        <x:v>FJH10K-S3D</x:v>
      </x:c>
      <x:c r="B42" s="23" t="str">
        <x:v>Favor Electronics / Favor Union</x:v>
      </x:c>
      <x:c r="C42" s="23" t="n">
        <x:v>2</x:v>
      </x:c>
      <x:c r="D42" s="23" t="str">
        <x:v>SW16 SW17</x:v>
      </x:c>
      <x:c r="E42" s="23" t="str">
        <x:v>D</x:v>
      </x:c>
      <x:c r="F42" s="23" t="str">
        <x:v>REVIEW</x:v>
      </x:c>
      <x:c r="G42" s="23" t="str">
        <x:v>Mechanically same family, but S2/S3D Hall-sensor VDD/GND pin order is reversed. Requires electrical re-pin/routing validation.</x:v>
      </x:c>
    </x:row>
    <x:row r="43">
      <x:c r="A43" s="23" t="str">
        <x:v>MCP23017T-E/SO</x:v>
      </x:c>
      <x:c r="B43" s="23" t="str">
        <x:v>Microchip Technology</x:v>
      </x:c>
      <x:c r="C43" s="23" t="n">
        <x:v>1</x:v>
      </x:c>
      <x:c r="D43" s="23" t="str">
        <x:v>U3</x:v>
      </x:c>
      <x:c r="E43" s="23" t="str">
        <x:v>A</x:v>
      </x:c>
      <x:c r="F43" s="23" t="str">
        <x:v>READY</x:v>
      </x:c>
      <x:c r="G43" s="23" t="str">
        <x:v>Same device/package/pinout; packaging-only alternate.</x:v>
      </x:c>
    </x:row>
    <x:row r="44">
      <x:c r="A44" s="23" t="str">
        <x:v>ADS7828E/250</x:v>
      </x:c>
      <x:c r="B44" s="23" t="str">
        <x:v>Texas Instruments</x:v>
      </x:c>
      <x:c r="C44" s="23" t="n">
        <x:v>1</x:v>
      </x:c>
      <x:c r="D44" s="23" t="str">
        <x:v>U4</x:v>
      </x:c>
      <x:c r="E44" s="23" t="str">
        <x:v>A</x:v>
      </x:c>
      <x:c r="F44" s="23" t="str">
        <x:v>READY</x:v>
      </x:c>
      <x:c r="G44" s="23" t="str">
        <x:v>Same ADC/device/package/pinout; packaging-quantity alternate.</x:v>
      </x:c>
    </x:row>
    <x:row r="45">
      <x:c r="A45" s="23" t="str">
        <x:v>CES-24205-18-L200</x:v>
      </x:c>
      <x:c r="B45" s="23" t="str">
        <x:v>Same Sky</x:v>
      </x:c>
      <x:c r="C45" s="23" t="n">
        <x:v>2</x:v>
      </x:c>
      <x:c r="D45" s="23" t="str">
        <x:v>LS1 LS3 speakers</x:v>
      </x:c>
      <x:c r="E45" s="23" t="str">
        <x:v>C</x:v>
      </x:c>
      <x:c r="F45" s="23" t="str">
        <x:v>REVIEW</x:v>
      </x:c>
      <x:c r="G45" s="23" t="str">
        <x:v>Electrical power/impedance match for L/R channels, but enclosure geometry and lead termination differ.</x:v>
      </x:c>
    </x:row>
    <x:row r="46">
      <x:c r="A46" s="23" t="str">
        <x:v>AS03208MS-3-R</x:v>
      </x:c>
      <x:c r="B46" s="23" t="str">
        <x:v>PUI Audio</x:v>
      </x:c>
      <x:c r="C46" s="23" t="n">
        <x:v>1</x:v>
      </x:c>
      <x:c r="D46" s="23" t="str">
        <x:v>LS2 speaker</x:v>
      </x:c>
      <x:c r="E46" s="23" t="str">
        <x:v>C</x:v>
      </x:c>
      <x:c r="F46" s="23" t="str">
        <x:v>REVIEW</x:v>
      </x:c>
      <x:c r="G46" s="23" t="str">
        <x:v>Near mechanical/electrical replacement for center speaker; verify depth, mounting and termination.</x:v>
      </x:c>
    </x:row>
    <x:row r="47">
      <x:c r="A47" s="23" t="str">
        <x:v>NTCLE100E3103GB0</x:v>
      </x:c>
      <x:c r="B47" s="23" t="str">
        <x:v>Vishay / BCcomponents</x:v>
      </x:c>
      <x:c r="C47" s="23" t="n">
        <x:v>1</x:v>
      </x:c>
      <x:c r="D47" s="23" t="str">
        <x:v>TH1 thermistor</x:v>
      </x:c>
      <x:c r="E47" s="23" t="str">
        <x:v>C</x:v>
      </x:c>
      <x:c r="F47" s="23" t="str">
        <x:v>REVIEW</x:v>
      </x:c>
      <x:c r="G47" s="23" t="str">
        <x:v>Electrical characteristic is close, but this is radial leaded rather than a wired probe. Add wiring/insulation and validate charge-temperature thresholds.</x:v>
      </x:c>
    </x:row>
    <x:row r="48">
      <x:c r="A48" s="23" t="str">
        <x:v>USB4105-GF-A-120</x:v>
      </x:c>
      <x:c r="B48" s="23" t="str">
        <x:v>GCT</x:v>
      </x:c>
      <x:c r="C48" s="23" t="n">
        <x:v>1</x:v>
      </x:c>
      <x:c r="D48" s="23" t="str">
        <x:v>J2</x:v>
      </x:c>
      <x:c r="E48" s="23" t="str">
        <x:v>D</x:v>
      </x:c>
      <x:c r="F48" s="23" t="str">
        <x:v>REVIEW</x:v>
      </x:c>
      <x:c r="G48" s="23" t="str">
        <x:v>Concrete connector candidate to freeze J2. Current HCTL footprint is deferred/unresolved; create and validate a new GCT footprint.</x:v>
      </x:c>
    </x:row>
  </x:sheetData>
  <x:mergeCells>
    <x:mergeCell ref="A1:G1"/>
    <x:mergeCell ref="A2:G2"/>
  </x:mergeCells>
  <x:conditionalFormatting sqref="F5:F48">
    <x:cfRule type="expression" dxfId="6" priority="1">
      <x:formula>F5="READY"</x:formula>
    </x:cfRule>
    <x:cfRule type="expression" dxfId="7" priority="2">
      <x:formula>F5="REVIEW"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47912c096e4f32"/>
  </x:tableParts>
</x:worksheet>
</file>